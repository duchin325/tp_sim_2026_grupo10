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ución" sheetId="1" r:id="rId5"/>
    <sheet state="visible" name="Tabla Euler" sheetId="2" r:id="rId6"/>
  </sheets>
  <definedNames>
    <definedName name="_intInf">#REF!</definedName>
    <definedName name="T_peluquero">'Solución'!$Q$3</definedName>
    <definedName name="_estilista">#REF!</definedName>
    <definedName name="T_colorista">'Solución'!$Q$2</definedName>
    <definedName name="_h">'Tabla Euler'!$B$23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tc={013d90f6-2432-4e1b-9c29-454a8ef89c44}</author>
    <author>tc={a5aa50a1-d75b-41d8-a9a8-da830fee7785}</author>
  </authors>
  <commentList>
    <comment authorId="0" xr:uid="{013d90f6-2432-4e1b-9c29-454a8ef89c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Acá pondría dos columnas por cliente, una con el estado y subindice para indicar quien lo está atendiendo y otra para el tiempo
</t>
      </text>
    </comment>
    <comment authorId="1" xr:uid="{a5aa50a1-d75b-41d8-a9a8-da830fee77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Agregaría un evento para cuando se les ofrece un refrigerio a los clientes
</t>
      </text>
    </comment>
  </commentList>
</comments>
</file>

<file path=xl/sharedStrings.xml><?xml version="1.0" encoding="utf-8"?>
<sst xmlns="http://schemas.openxmlformats.org/spreadsheetml/2006/main" count="185" uniqueCount="101">
  <si>
    <t>T</t>
  </si>
  <si>
    <t>Estado posible</t>
  </si>
  <si>
    <t>Atencion</t>
  </si>
  <si>
    <t>Cobra</t>
  </si>
  <si>
    <t>Peluquería Look</t>
  </si>
  <si>
    <t>Tabla con Resultados de calculo de Euler</t>
  </si>
  <si>
    <t>Colorista</t>
  </si>
  <si>
    <t>Libre / Ocupado</t>
  </si>
  <si>
    <t>Tamaño Cola (C)</t>
  </si>
  <si>
    <t>T. Atencion Peluquero (T = 130)</t>
  </si>
  <si>
    <t>T. Atencion Colorista (T= 180)</t>
  </si>
  <si>
    <t>Peluquero A</t>
  </si>
  <si>
    <t>Peluquero B</t>
  </si>
  <si>
    <t>Cliente</t>
  </si>
  <si>
    <t>-</t>
  </si>
  <si>
    <t>Esperando/Atendiendose/Consumiento Refrigerio</t>
  </si>
  <si>
    <t>P(x)</t>
  </si>
  <si>
    <t>P(x)Acum</t>
  </si>
  <si>
    <t>Lim Inf</t>
  </si>
  <si>
    <t>Lim Sup</t>
  </si>
  <si>
    <t>Nomenclatura</t>
  </si>
  <si>
    <t>Eventos</t>
  </si>
  <si>
    <t>Colas</t>
  </si>
  <si>
    <t>Refrigerio</t>
  </si>
  <si>
    <t>Costo</t>
  </si>
  <si>
    <t>Tiempo Demora</t>
  </si>
  <si>
    <t>T / Llegadas</t>
  </si>
  <si>
    <t>EA</t>
  </si>
  <si>
    <t>Esperando Atencion</t>
  </si>
  <si>
    <t>Inicial</t>
  </si>
  <si>
    <t>Cola de Espera</t>
  </si>
  <si>
    <t>Cerveza/Licuado</t>
  </si>
  <si>
    <t>Uniforme (2;12)</t>
  </si>
  <si>
    <t xml:space="preserve">SA </t>
  </si>
  <si>
    <t>Siendo Atendido</t>
  </si>
  <si>
    <t>Llegada Cliente</t>
  </si>
  <si>
    <t>Fin Colorista</t>
  </si>
  <si>
    <t>Fin Peluquero A</t>
  </si>
  <si>
    <t>Fin Peluquero B</t>
  </si>
  <si>
    <t>Llegada Clientes U(2;12)</t>
  </si>
  <si>
    <t>Colorista (Diferencial)</t>
  </si>
  <si>
    <t>Peluquero A (Diferencial)</t>
  </si>
  <si>
    <t>Peluquero B Diferencial</t>
  </si>
  <si>
    <t>Clientes</t>
  </si>
  <si>
    <t>Nro de dia</t>
  </si>
  <si>
    <t>Nro de 
evento</t>
  </si>
  <si>
    <t>Reloj (min)</t>
  </si>
  <si>
    <t>Evento</t>
  </si>
  <si>
    <t>Nro de cliente</t>
  </si>
  <si>
    <t>RND Llegada</t>
  </si>
  <si>
    <t>Tiempo 
entre 
llegadas</t>
  </si>
  <si>
    <t>Proxima 
llegada</t>
  </si>
  <si>
    <t>RND 
Servicio</t>
  </si>
  <si>
    <t>Estilista
Asignado</t>
  </si>
  <si>
    <t>Estado</t>
  </si>
  <si>
    <t>Tiempo
Atencion</t>
  </si>
  <si>
    <t>Fin Atencion
Colorista</t>
  </si>
  <si>
    <t>Cola
Colorista</t>
  </si>
  <si>
    <t>Cliente/s en 
cola</t>
  </si>
  <si>
    <t>RND 
Atencion</t>
  </si>
  <si>
    <t>Tiempo 
Atencion</t>
  </si>
  <si>
    <t>Fin Atencion
Peluquero A</t>
  </si>
  <si>
    <t>Cola 
Peluquero A</t>
  </si>
  <si>
    <t>Fin Atencion
Peluquero B</t>
  </si>
  <si>
    <t>Cola 
Peluquero B</t>
  </si>
  <si>
    <t>Acumulador 
Recaudacion</t>
  </si>
  <si>
    <t>Costo Refrigerio</t>
  </si>
  <si>
    <t>Recaudación Evento</t>
  </si>
  <si>
    <t>Maximo en Cola</t>
  </si>
  <si>
    <t>Gente en 
cola</t>
  </si>
  <si>
    <t>Hora inicio refrigerio</t>
  </si>
  <si>
    <t>¿REFRIGERIO?</t>
  </si>
  <si>
    <t>Libre</t>
  </si>
  <si>
    <t>SA(PB)</t>
  </si>
  <si>
    <t>NO</t>
  </si>
  <si>
    <t>SA(C)</t>
  </si>
  <si>
    <t>SA(PA)</t>
  </si>
  <si>
    <t>EA(PA)</t>
  </si>
  <si>
    <t>EA(C)</t>
  </si>
  <si>
    <t>SI</t>
  </si>
  <si>
    <t>Se le suma 1 min de espera y no 30 min con el fin de ver la simulacion del refrigerio</t>
  </si>
  <si>
    <t>Se le suma 1 min de espera al refrigerio y no 30 min con el fin de ver la simulacion del refrigerio</t>
  </si>
  <si>
    <t>Nota: El 26 de las formulas de esta tabla se obtiene resolviendo 0.2 * T, para un T=130</t>
  </si>
  <si>
    <t>Nota: El 36 de las formulas de esta tabla se obtiene resolviendo 0.2 * T, para un T=180</t>
  </si>
  <si>
    <t>Tiempo de Atencion Peluquero</t>
  </si>
  <si>
    <t>Tiempo de Atencion Colorista</t>
  </si>
  <si>
    <t>A (Tiempo t)</t>
  </si>
  <si>
    <t>B (Cola C = 0)</t>
  </si>
  <si>
    <t>C (Cola C = 1)</t>
  </si>
  <si>
    <t>D (Cola C = 2)</t>
  </si>
  <si>
    <t>E (Cola C = 3)</t>
  </si>
  <si>
    <t>F (Cola C = 4)</t>
  </si>
  <si>
    <t>G (Cola C = 5)</t>
  </si>
  <si>
    <t>Peluquero (T=130)</t>
  </si>
  <si>
    <t>Colorista (T=180)</t>
  </si>
  <si>
    <t>t (Minuto)</t>
  </si>
  <si>
    <t>D (Progreso Actual)</t>
  </si>
  <si>
    <t>dD / dt</t>
  </si>
  <si>
    <t>D_Siguiente</t>
  </si>
  <si>
    <t>es &gt; T=130, corta acá</t>
  </si>
  <si>
    <t>es &gt; T=180, corta acá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</si>
</sst>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FFFF"/>
      <name val="Arial"/>
      <scheme val="minor"/>
    </font>
    <font/>
    <font>
      <color theme="1"/>
      <name val="Arial"/>
    </font>
    <font>
      <sz val="11.0"/>
      <color theme="1"/>
      <name val="Calibri"/>
    </font>
    <font>
      <color rgb="FF666666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bottom"/>
    </xf>
    <xf borderId="1" fillId="0" fontId="1" numFmtId="0" xfId="0" applyAlignment="1" applyBorder="1" applyFont="1">
      <alignment horizontal="center" readingOrder="0"/>
    </xf>
    <xf borderId="1" fillId="0" fontId="1" numFmtId="9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4" fontId="4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readingOrder="0" vertical="bottom"/>
    </xf>
    <xf borderId="1" fillId="4" fontId="4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2" fillId="2" fontId="5" numFmtId="0" xfId="0" applyAlignment="1" applyBorder="1" applyFont="1">
      <alignment horizontal="center" vertical="bottom"/>
    </xf>
    <xf borderId="1" fillId="5" fontId="1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4" numFmtId="0" xfId="0" applyAlignment="1" applyFont="1">
      <alignment horizontal="center" vertical="bottom"/>
    </xf>
    <xf borderId="5" fillId="2" fontId="5" numFmtId="0" xfId="0" applyAlignment="1" applyBorder="1" applyFon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8" fillId="6" fontId="5" numFmtId="0" xfId="0" applyAlignment="1" applyBorder="1" applyFill="1" applyFont="1">
      <alignment horizontal="center" vertical="bottom"/>
    </xf>
    <xf borderId="9" fillId="0" fontId="3" numFmtId="0" xfId="0" applyBorder="1" applyFont="1"/>
    <xf borderId="10" fillId="0" fontId="3" numFmtId="0" xfId="0" applyBorder="1" applyFont="1"/>
    <xf borderId="11" fillId="7" fontId="5" numFmtId="0" xfId="0" applyAlignment="1" applyBorder="1" applyFill="1" applyFont="1">
      <alignment horizontal="center" readingOrder="0" vertical="bottom"/>
    </xf>
    <xf borderId="12" fillId="0" fontId="3" numFmtId="0" xfId="0" applyBorder="1" applyFont="1"/>
    <xf borderId="13" fillId="0" fontId="3" numFmtId="0" xfId="0" applyBorder="1" applyFont="1"/>
    <xf borderId="11" fillId="8" fontId="5" numFmtId="0" xfId="0" applyAlignment="1" applyBorder="1" applyFill="1" applyFont="1">
      <alignment horizontal="center" readingOrder="0" vertical="bottom"/>
    </xf>
    <xf borderId="11" fillId="9" fontId="5" numFmtId="0" xfId="0" applyAlignment="1" applyBorder="1" applyFill="1" applyFont="1">
      <alignment horizontal="center"/>
    </xf>
    <xf borderId="12" fillId="9" fontId="4" numFmtId="0" xfId="0" applyAlignment="1" applyBorder="1" applyFont="1">
      <alignment horizontal="center"/>
    </xf>
    <xf borderId="14" fillId="10" fontId="5" numFmtId="0" xfId="0" applyAlignment="1" applyBorder="1" applyFill="1" applyFont="1">
      <alignment horizontal="center" shrinkToFit="0" vertical="bottom" wrapText="1"/>
    </xf>
    <xf borderId="9" fillId="10" fontId="5" numFmtId="0" xfId="0" applyAlignment="1" applyBorder="1" applyFont="1">
      <alignment horizontal="center" vertical="bottom"/>
    </xf>
    <xf borderId="10" fillId="10" fontId="5" numFmtId="0" xfId="0" applyAlignment="1" applyBorder="1" applyFont="1">
      <alignment horizontal="center" vertical="bottom"/>
    </xf>
    <xf borderId="15" fillId="10" fontId="4" numFmtId="0" xfId="0" applyAlignment="1" applyBorder="1" applyFont="1">
      <alignment horizontal="center" shrinkToFit="0" vertical="bottom" wrapText="1"/>
    </xf>
    <xf borderId="9" fillId="10" fontId="5" numFmtId="0" xfId="0" applyAlignment="1" applyBorder="1" applyFont="1">
      <alignment horizontal="center" readingOrder="0" vertical="bottom"/>
    </xf>
    <xf borderId="16" fillId="10" fontId="5" numFmtId="0" xfId="0" applyAlignment="1" applyBorder="1" applyFont="1">
      <alignment horizontal="center" shrinkToFit="0" vertical="bottom" wrapText="1"/>
    </xf>
    <xf borderId="17" fillId="11" fontId="5" numFmtId="0" xfId="0" applyAlignment="1" applyBorder="1" applyFill="1" applyFont="1">
      <alignment horizontal="center" shrinkToFit="0" vertical="bottom" wrapText="1"/>
    </xf>
    <xf borderId="9" fillId="10" fontId="5" numFmtId="0" xfId="0" applyAlignment="1" applyBorder="1" applyFont="1">
      <alignment horizontal="center" readingOrder="0" shrinkToFit="0" vertical="bottom" wrapText="1"/>
    </xf>
    <xf borderId="9" fillId="10" fontId="5" numFmtId="0" xfId="0" applyAlignment="1" applyBorder="1" applyFont="1">
      <alignment horizontal="center" shrinkToFit="0" vertical="bottom" wrapText="1"/>
    </xf>
    <xf borderId="9" fillId="6" fontId="5" numFmtId="0" xfId="0" applyAlignment="1" applyBorder="1" applyFont="1">
      <alignment horizontal="center" shrinkToFit="0" vertical="bottom" wrapText="1"/>
    </xf>
    <xf borderId="10" fillId="6" fontId="5" numFmtId="0" xfId="0" applyAlignment="1" applyBorder="1" applyFont="1">
      <alignment horizontal="center" shrinkToFit="0" vertical="bottom" wrapText="1"/>
    </xf>
    <xf borderId="8" fillId="7" fontId="5" numFmtId="0" xfId="0" applyAlignment="1" applyBorder="1" applyFont="1">
      <alignment horizontal="center" vertical="bottom"/>
    </xf>
    <xf borderId="9" fillId="7" fontId="5" numFmtId="0" xfId="0" applyAlignment="1" applyBorder="1" applyFont="1">
      <alignment horizontal="center" readingOrder="0" shrinkToFit="0" vertical="bottom" wrapText="1"/>
    </xf>
    <xf borderId="9" fillId="7" fontId="5" numFmtId="0" xfId="0" applyAlignment="1" applyBorder="1" applyFont="1">
      <alignment horizontal="center" shrinkToFit="0" vertical="bottom" wrapText="1"/>
    </xf>
    <xf borderId="10" fillId="7" fontId="5" numFmtId="0" xfId="0" applyAlignment="1" applyBorder="1" applyFont="1">
      <alignment horizontal="center" shrinkToFit="0" vertical="bottom" wrapText="1"/>
    </xf>
    <xf borderId="18" fillId="8" fontId="5" numFmtId="0" xfId="0" applyAlignment="1" applyBorder="1" applyFont="1">
      <alignment horizontal="center" vertical="bottom"/>
    </xf>
    <xf borderId="19" fillId="8" fontId="5" numFmtId="0" xfId="0" applyAlignment="1" applyBorder="1" applyFont="1">
      <alignment horizontal="center" readingOrder="0" shrinkToFit="0" vertical="bottom" wrapText="1"/>
    </xf>
    <xf borderId="19" fillId="8" fontId="5" numFmtId="0" xfId="0" applyAlignment="1" applyBorder="1" applyFont="1">
      <alignment horizontal="center" shrinkToFit="0" vertical="bottom" wrapText="1"/>
    </xf>
    <xf borderId="20" fillId="8" fontId="5" numFmtId="0" xfId="0" applyAlignment="1" applyBorder="1" applyFont="1">
      <alignment horizontal="center" shrinkToFit="0" vertical="bottom" wrapText="1"/>
    </xf>
    <xf borderId="10" fillId="8" fontId="5" numFmtId="0" xfId="0" applyAlignment="1" applyBorder="1" applyFont="1">
      <alignment horizontal="center" shrinkToFit="0" vertical="bottom" wrapText="1"/>
    </xf>
    <xf borderId="8" fillId="10" fontId="5" numFmtId="0" xfId="0" applyAlignment="1" applyBorder="1" applyFont="1">
      <alignment horizontal="center" shrinkToFit="0" vertical="bottom" wrapText="1"/>
    </xf>
    <xf borderId="16" fillId="10" fontId="4" numFmtId="0" xfId="0" applyAlignment="1" applyBorder="1" applyFont="1">
      <alignment horizontal="center" vertical="bottom"/>
    </xf>
    <xf borderId="9" fillId="10" fontId="4" numFmtId="0" xfId="0" applyAlignment="1" applyBorder="1" applyFont="1">
      <alignment horizontal="center" shrinkToFit="0" vertical="bottom" wrapText="1"/>
    </xf>
    <xf borderId="17" fillId="9" fontId="5" numFmtId="0" xfId="0" applyAlignment="1" applyBorder="1" applyFont="1">
      <alignment horizontal="center" shrinkToFit="0" wrapText="1"/>
    </xf>
    <xf borderId="9" fillId="9" fontId="5" numFmtId="0" xfId="0" applyAlignment="1" applyBorder="1" applyFont="1">
      <alignment horizontal="center" shrinkToFit="0" wrapText="1"/>
    </xf>
    <xf borderId="16" fillId="9" fontId="5" numFmtId="0" xfId="0" applyAlignment="1" applyBorder="1" applyFont="1">
      <alignment horizontal="center" shrinkToFit="0" wrapText="1"/>
    </xf>
    <xf borderId="21" fillId="9" fontId="5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12" fontId="1" numFmtId="0" xfId="0" applyAlignment="1" applyFill="1" applyFont="1">
      <alignment horizontal="center"/>
    </xf>
    <xf borderId="0" fillId="0" fontId="1" numFmtId="0" xfId="0" applyFont="1"/>
    <xf borderId="0" fillId="13" fontId="1" numFmtId="0" xfId="0" applyAlignment="1" applyFill="1" applyFont="1">
      <alignment readingOrder="0"/>
    </xf>
    <xf borderId="0" fillId="13" fontId="1" numFmtId="0" xfId="0" applyFont="1"/>
    <xf borderId="0" fillId="14" fontId="1" numFmtId="0" xfId="0" applyAlignment="1" applyFill="1" applyFont="1">
      <alignment horizontal="center" readingOrder="0"/>
    </xf>
    <xf borderId="0" fillId="4" fontId="6" numFmtId="0" xfId="0" applyAlignment="1" applyFont="1">
      <alignment horizontal="center" readingOrder="0"/>
    </xf>
    <xf borderId="2" fillId="15" fontId="1" numFmtId="0" xfId="0" applyAlignment="1" applyBorder="1" applyFill="1" applyFont="1">
      <alignment horizontal="center" readingOrder="0"/>
    </xf>
    <xf borderId="2" fillId="16" fontId="1" numFmtId="0" xfId="0" applyAlignment="1" applyBorder="1" applyFill="1" applyFont="1">
      <alignment horizontal="center" readingOrder="0"/>
    </xf>
    <xf borderId="1" fillId="15" fontId="1" numFmtId="0" xfId="0" applyAlignment="1" applyBorder="1" applyFont="1">
      <alignment horizontal="center" readingOrder="0"/>
    </xf>
    <xf borderId="1" fillId="16" fontId="1" numFmtId="0" xfId="0" applyAlignment="1" applyBorder="1" applyFont="1">
      <alignment horizontal="center" readingOrder="0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1</xdr:row>
      <xdr:rowOff>28575</xdr:rowOff>
    </xdr:from>
    <xdr:ext cx="4781550" cy="2324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695325</xdr:colOff>
      <xdr:row>0</xdr:row>
      <xdr:rowOff>0</xdr:rowOff>
    </xdr:from>
    <xdr:ext cx="1200150" cy="381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ana Montesinos" id="{0db3d24b-2e24-47de-82f5-9042302aa4e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18T08:29:17.00" personId="{0db3d24b-2e24-47de-82f5-9042302aa4e2}" id="{a5aa50a1-d75b-41d8-a9a8-da830fee7785}" done="0">
    <x18tc:text xml:space="preserve">Agregaría un evento para cuando se les ofrece un refrigerio a los clientes</x18tc:text>
  </x18tc:threadedComment>
  <x18tc:threadedComment ref="A1" dT="2026-06-18T08:32:48.00" personId="{0db3d24b-2e24-47de-82f5-9042302aa4e2}" id="{013d90f6-2432-4e1b-9c29-454a8ef89c44}" done="0">
    <x18tc:text xml:space="preserve">Acá pondría dos columnas por cliente, una con el estado y subindice para indicar quien lo está atendiendo y otra para el tiempo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7.13"/>
    <col customWidth="1" min="4" max="4" width="15.13"/>
    <col customWidth="1" min="7" max="7" width="15.0"/>
    <col customWidth="1" min="10" max="10" width="11.75"/>
    <col customWidth="1" min="13" max="13" width="14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K1" s="3" t="s">
        <v>5</v>
      </c>
      <c r="L1" s="4"/>
      <c r="M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</row>
    <row r="2">
      <c r="A2" s="1" t="s">
        <v>6</v>
      </c>
      <c r="B2" s="7">
        <v>180.0</v>
      </c>
      <c r="C2" s="7" t="s">
        <v>7</v>
      </c>
      <c r="D2" s="8">
        <v>0.15</v>
      </c>
      <c r="E2" s="9">
        <v>35000.0</v>
      </c>
      <c r="K2" s="10" t="s">
        <v>8</v>
      </c>
      <c r="L2" s="10" t="s">
        <v>9</v>
      </c>
      <c r="M2" s="10" t="s">
        <v>10</v>
      </c>
      <c r="Q2" s="11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</row>
    <row r="3">
      <c r="A3" s="1" t="s">
        <v>11</v>
      </c>
      <c r="B3" s="7">
        <v>130.0</v>
      </c>
      <c r="C3" s="7" t="s">
        <v>7</v>
      </c>
      <c r="D3" s="8">
        <v>0.45</v>
      </c>
      <c r="E3" s="9">
        <v>18000.0</v>
      </c>
      <c r="K3" s="12">
        <v>0.0</v>
      </c>
      <c r="L3" s="12">
        <v>5.0</v>
      </c>
      <c r="M3" s="12">
        <v>6.0</v>
      </c>
      <c r="Q3" s="11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</row>
    <row r="4">
      <c r="A4" s="1" t="s">
        <v>12</v>
      </c>
      <c r="B4" s="7">
        <v>130.0</v>
      </c>
      <c r="C4" s="7" t="s">
        <v>7</v>
      </c>
      <c r="D4" s="8">
        <v>0.4</v>
      </c>
      <c r="E4" s="9">
        <v>18000.0</v>
      </c>
      <c r="K4" s="12">
        <v>1.0</v>
      </c>
      <c r="L4" s="12">
        <v>5.0</v>
      </c>
      <c r="M4" s="12">
        <v>6.0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</row>
    <row r="5">
      <c r="A5" s="1" t="s">
        <v>13</v>
      </c>
      <c r="B5" s="7" t="s">
        <v>14</v>
      </c>
      <c r="C5" s="13" t="s">
        <v>15</v>
      </c>
      <c r="D5" s="4"/>
      <c r="E5" s="5"/>
      <c r="K5" s="12">
        <v>2.0</v>
      </c>
      <c r="L5" s="12">
        <v>5.0</v>
      </c>
      <c r="M5" s="12">
        <v>6.0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</row>
    <row r="6">
      <c r="A6" s="14"/>
      <c r="B6" s="14"/>
      <c r="C6" s="14"/>
      <c r="D6" s="14"/>
      <c r="E6" s="14"/>
      <c r="K6" s="12">
        <v>3.0</v>
      </c>
      <c r="L6" s="12">
        <v>4.0</v>
      </c>
      <c r="M6" s="12">
        <v>6.0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</row>
    <row r="7">
      <c r="B7" s="1" t="s">
        <v>16</v>
      </c>
      <c r="C7" s="1" t="s">
        <v>17</v>
      </c>
      <c r="D7" s="1" t="s">
        <v>18</v>
      </c>
      <c r="E7" s="1" t="s">
        <v>19</v>
      </c>
      <c r="J7" s="15"/>
      <c r="K7" s="12">
        <v>4.0</v>
      </c>
      <c r="L7" s="12">
        <v>4.0</v>
      </c>
      <c r="M7" s="12">
        <v>6.0</v>
      </c>
    </row>
    <row r="8">
      <c r="A8" s="1" t="s">
        <v>6</v>
      </c>
      <c r="B8" s="7">
        <v>0.15</v>
      </c>
      <c r="C8" s="16">
        <f>B8</f>
        <v>0.15</v>
      </c>
      <c r="D8" s="7">
        <v>0.0</v>
      </c>
      <c r="E8" s="7">
        <v>0.1499</v>
      </c>
      <c r="K8" s="12">
        <v>5.0</v>
      </c>
      <c r="L8" s="12">
        <v>4.0</v>
      </c>
      <c r="M8" s="12">
        <v>6.0</v>
      </c>
    </row>
    <row r="9">
      <c r="A9" s="1" t="s">
        <v>11</v>
      </c>
      <c r="B9" s="7">
        <v>0.45</v>
      </c>
      <c r="C9" s="16">
        <f t="shared" ref="C9:C10" si="1">C8+B9</f>
        <v>0.6</v>
      </c>
      <c r="D9" s="7">
        <v>0.15</v>
      </c>
      <c r="E9" s="7">
        <v>0.5999</v>
      </c>
      <c r="L9" s="14"/>
      <c r="M9" s="14"/>
      <c r="N9" s="14"/>
    </row>
    <row r="10">
      <c r="A10" s="1" t="s">
        <v>12</v>
      </c>
      <c r="B10" s="7">
        <v>0.4</v>
      </c>
      <c r="C10" s="16">
        <f t="shared" si="1"/>
        <v>1</v>
      </c>
      <c r="D10" s="7">
        <v>0.6</v>
      </c>
      <c r="E10" s="7">
        <v>0.9999</v>
      </c>
      <c r="L10" s="14"/>
      <c r="M10" s="14"/>
      <c r="N10" s="14"/>
    </row>
    <row r="13">
      <c r="A13" s="17" t="s">
        <v>20</v>
      </c>
      <c r="B13" s="4"/>
      <c r="C13" s="5"/>
      <c r="E13" s="18" t="s">
        <v>21</v>
      </c>
      <c r="F13" s="18" t="s">
        <v>22</v>
      </c>
      <c r="G13" s="18" t="s">
        <v>23</v>
      </c>
      <c r="H13" s="18" t="s">
        <v>24</v>
      </c>
      <c r="I13" s="18" t="s">
        <v>25</v>
      </c>
      <c r="J13" s="18" t="s">
        <v>26</v>
      </c>
    </row>
    <row r="14">
      <c r="A14" s="19" t="s">
        <v>27</v>
      </c>
      <c r="B14" s="19" t="s">
        <v>28</v>
      </c>
      <c r="C14" s="20"/>
      <c r="E14" s="21" t="s">
        <v>29</v>
      </c>
      <c r="F14" s="14" t="s">
        <v>30</v>
      </c>
      <c r="G14" s="14" t="s">
        <v>31</v>
      </c>
      <c r="H14" s="22">
        <v>6500.0</v>
      </c>
      <c r="I14" s="14"/>
      <c r="J14" s="21" t="s">
        <v>32</v>
      </c>
      <c r="K14" s="14"/>
    </row>
    <row r="15">
      <c r="A15" s="19" t="s">
        <v>33</v>
      </c>
      <c r="B15" s="19" t="s">
        <v>34</v>
      </c>
      <c r="C15" s="20"/>
      <c r="E15" s="21" t="s">
        <v>35</v>
      </c>
      <c r="F15" s="14"/>
      <c r="G15" s="14"/>
      <c r="H15" s="14"/>
      <c r="I15" s="14"/>
      <c r="J15" s="14"/>
      <c r="K15" s="14"/>
    </row>
    <row r="16">
      <c r="E16" s="21" t="s">
        <v>36</v>
      </c>
      <c r="F16" s="14"/>
      <c r="G16" s="14"/>
      <c r="H16" s="14"/>
      <c r="I16" s="14"/>
      <c r="J16" s="14"/>
      <c r="K16" s="14"/>
      <c r="BU16" s="14"/>
    </row>
    <row r="17">
      <c r="E17" s="21" t="s">
        <v>37</v>
      </c>
      <c r="F17" s="14"/>
      <c r="G17" s="14"/>
      <c r="H17" s="14"/>
      <c r="I17" s="14"/>
      <c r="J17" s="14"/>
      <c r="K17" s="14"/>
      <c r="BU17" s="14"/>
    </row>
    <row r="18">
      <c r="E18" s="21" t="s">
        <v>38</v>
      </c>
      <c r="F18" s="14"/>
      <c r="G18" s="14"/>
      <c r="H18" s="14"/>
      <c r="I18" s="14"/>
      <c r="J18" s="14"/>
      <c r="K18" s="14"/>
      <c r="BU18" s="14"/>
    </row>
    <row r="19">
      <c r="BU19" s="14"/>
    </row>
    <row r="20">
      <c r="A20" s="23"/>
      <c r="B20" s="23"/>
      <c r="C20" s="23"/>
      <c r="D20" s="23"/>
      <c r="E20" s="23"/>
      <c r="F20" s="24" t="s">
        <v>39</v>
      </c>
      <c r="G20" s="25"/>
      <c r="H20" s="26"/>
      <c r="I20" s="23"/>
      <c r="J20" s="23"/>
      <c r="K20" s="27" t="s">
        <v>40</v>
      </c>
      <c r="L20" s="28"/>
      <c r="M20" s="28"/>
      <c r="N20" s="28"/>
      <c r="O20" s="29"/>
      <c r="P20" s="30" t="s">
        <v>41</v>
      </c>
      <c r="Q20" s="31"/>
      <c r="R20" s="31"/>
      <c r="S20" s="31"/>
      <c r="T20" s="31"/>
      <c r="U20" s="32"/>
      <c r="V20" s="33" t="s">
        <v>42</v>
      </c>
      <c r="W20" s="31"/>
      <c r="X20" s="31"/>
      <c r="Y20" s="31"/>
      <c r="Z20" s="31"/>
      <c r="AA20" s="32"/>
      <c r="AB20" s="14"/>
      <c r="AC20" s="23"/>
      <c r="AD20" s="23"/>
      <c r="AE20" s="23"/>
      <c r="AF20" s="23"/>
      <c r="AG20" s="34" t="s">
        <v>43</v>
      </c>
      <c r="AH20" s="31"/>
      <c r="AI20" s="31"/>
      <c r="AJ20" s="31"/>
      <c r="AK20" s="31"/>
      <c r="AL20" s="31"/>
      <c r="AM20" s="31"/>
      <c r="AN20" s="31"/>
      <c r="AO20" s="31"/>
      <c r="AP20" s="31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14"/>
    </row>
    <row r="21">
      <c r="A21" s="36" t="s">
        <v>44</v>
      </c>
      <c r="B21" s="37" t="s">
        <v>45</v>
      </c>
      <c r="C21" s="38" t="s">
        <v>46</v>
      </c>
      <c r="D21" s="37" t="s">
        <v>47</v>
      </c>
      <c r="E21" s="39" t="s">
        <v>48</v>
      </c>
      <c r="F21" s="40" t="s">
        <v>49</v>
      </c>
      <c r="G21" s="41" t="s">
        <v>50</v>
      </c>
      <c r="H21" s="42" t="s">
        <v>51</v>
      </c>
      <c r="I21" s="43" t="s">
        <v>52</v>
      </c>
      <c r="J21" s="44" t="s">
        <v>53</v>
      </c>
      <c r="K21" s="27" t="s">
        <v>54</v>
      </c>
      <c r="L21" s="45" t="s">
        <v>55</v>
      </c>
      <c r="M21" s="45" t="s">
        <v>56</v>
      </c>
      <c r="N21" s="45" t="s">
        <v>57</v>
      </c>
      <c r="O21" s="46" t="s">
        <v>58</v>
      </c>
      <c r="P21" s="47" t="s">
        <v>54</v>
      </c>
      <c r="Q21" s="48" t="s">
        <v>59</v>
      </c>
      <c r="R21" s="49" t="s">
        <v>60</v>
      </c>
      <c r="S21" s="49" t="s">
        <v>61</v>
      </c>
      <c r="T21" s="49" t="s">
        <v>62</v>
      </c>
      <c r="U21" s="50" t="s">
        <v>58</v>
      </c>
      <c r="V21" s="51" t="s">
        <v>54</v>
      </c>
      <c r="W21" s="52" t="s">
        <v>59</v>
      </c>
      <c r="X21" s="53" t="s">
        <v>55</v>
      </c>
      <c r="Y21" s="54" t="s">
        <v>63</v>
      </c>
      <c r="Z21" s="54" t="s">
        <v>64</v>
      </c>
      <c r="AA21" s="55" t="s">
        <v>58</v>
      </c>
      <c r="AB21" s="56" t="s">
        <v>65</v>
      </c>
      <c r="AC21" s="57" t="s">
        <v>66</v>
      </c>
      <c r="AD21" s="58" t="s">
        <v>67</v>
      </c>
      <c r="AE21" s="44" t="s">
        <v>68</v>
      </c>
      <c r="AF21" s="44" t="s">
        <v>69</v>
      </c>
      <c r="AG21" s="59">
        <v>1.0</v>
      </c>
      <c r="AH21" s="60" t="s">
        <v>70</v>
      </c>
      <c r="AI21" s="60" t="s">
        <v>71</v>
      </c>
      <c r="AJ21" s="61" t="s">
        <v>66</v>
      </c>
      <c r="AK21" s="59">
        <v>2.0</v>
      </c>
      <c r="AL21" s="60" t="s">
        <v>70</v>
      </c>
      <c r="AM21" s="60" t="s">
        <v>71</v>
      </c>
      <c r="AN21" s="61" t="s">
        <v>66</v>
      </c>
      <c r="AO21" s="59">
        <v>3.0</v>
      </c>
      <c r="AP21" s="60" t="s">
        <v>70</v>
      </c>
      <c r="AQ21" s="60" t="s">
        <v>71</v>
      </c>
      <c r="AR21" s="61" t="s">
        <v>66</v>
      </c>
      <c r="AS21" s="59">
        <v>4.0</v>
      </c>
      <c r="AT21" s="60" t="s">
        <v>70</v>
      </c>
      <c r="AU21" s="60" t="s">
        <v>71</v>
      </c>
      <c r="AV21" s="61" t="s">
        <v>66</v>
      </c>
      <c r="AW21" s="59">
        <v>5.0</v>
      </c>
      <c r="AX21" s="60" t="s">
        <v>70</v>
      </c>
      <c r="AY21" s="60" t="s">
        <v>71</v>
      </c>
      <c r="AZ21" s="61" t="s">
        <v>66</v>
      </c>
      <c r="BA21" s="59">
        <v>6.0</v>
      </c>
      <c r="BB21" s="60" t="s">
        <v>70</v>
      </c>
      <c r="BC21" s="60" t="s">
        <v>71</v>
      </c>
      <c r="BD21" s="61" t="s">
        <v>66</v>
      </c>
      <c r="BE21" s="59">
        <v>7.0</v>
      </c>
      <c r="BF21" s="60" t="s">
        <v>70</v>
      </c>
      <c r="BG21" s="60" t="s">
        <v>71</v>
      </c>
      <c r="BH21" s="61" t="s">
        <v>66</v>
      </c>
      <c r="BI21" s="59">
        <v>8.0</v>
      </c>
      <c r="BJ21" s="60" t="s">
        <v>70</v>
      </c>
      <c r="BK21" s="60" t="s">
        <v>71</v>
      </c>
      <c r="BL21" s="61" t="s">
        <v>66</v>
      </c>
      <c r="BM21" s="59">
        <v>9.0</v>
      </c>
      <c r="BN21" s="60" t="s">
        <v>70</v>
      </c>
      <c r="BO21" s="60" t="s">
        <v>71</v>
      </c>
      <c r="BP21" s="61" t="s">
        <v>66</v>
      </c>
      <c r="BQ21" s="59">
        <v>10.0</v>
      </c>
      <c r="BR21" s="60" t="s">
        <v>70</v>
      </c>
      <c r="BS21" s="60" t="s">
        <v>71</v>
      </c>
      <c r="BT21" s="62" t="s">
        <v>66</v>
      </c>
      <c r="BU21" s="14"/>
    </row>
    <row r="22">
      <c r="A22" s="21">
        <v>1.0</v>
      </c>
      <c r="B22" s="21">
        <v>1.0</v>
      </c>
      <c r="C22" s="21">
        <v>0.0</v>
      </c>
      <c r="D22" s="63" t="s">
        <v>29</v>
      </c>
      <c r="E22" s="21">
        <v>0.0</v>
      </c>
      <c r="F22" s="21">
        <v>0.91</v>
      </c>
      <c r="G22" s="14">
        <f t="shared" ref="G22:G24" si="2">2+F22*(12-2)</f>
        <v>11.1</v>
      </c>
      <c r="H22" s="14">
        <f>G22+C22</f>
        <v>11.1</v>
      </c>
      <c r="I22" s="21" t="s">
        <v>14</v>
      </c>
      <c r="J22" s="21" t="s">
        <v>14</v>
      </c>
      <c r="K22" s="21" t="s">
        <v>72</v>
      </c>
      <c r="L22" s="14"/>
      <c r="M22" s="14"/>
      <c r="N22" s="21">
        <v>0.0</v>
      </c>
      <c r="O22" s="14"/>
      <c r="P22" s="21" t="s">
        <v>72</v>
      </c>
      <c r="Q22" s="14"/>
      <c r="R22" s="14"/>
      <c r="S22" s="14"/>
      <c r="T22" s="21">
        <v>0.0</v>
      </c>
      <c r="U22" s="21">
        <v>0.0</v>
      </c>
      <c r="V22" s="21" t="s">
        <v>72</v>
      </c>
      <c r="W22" s="14"/>
      <c r="X22" s="14"/>
      <c r="Y22" s="14"/>
      <c r="Z22" s="21">
        <v>0.0</v>
      </c>
      <c r="AA22" s="21" t="s">
        <v>14</v>
      </c>
      <c r="AB22" s="21">
        <v>0.0</v>
      </c>
      <c r="AC22" s="21"/>
      <c r="AD22" s="14">
        <f t="shared" ref="AD22:AD32" si="3">IF(D22="Fin Atención Colorista",35000,IF(D22="Fin Atención Peluquero A",18000,IF(D22="Fin Atención Peluquero B",18000,0)))</f>
        <v>0</v>
      </c>
      <c r="AE22" s="21" t="s">
        <v>14</v>
      </c>
      <c r="AF22" s="21" t="s">
        <v>14</v>
      </c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</row>
    <row r="23">
      <c r="A23" s="21">
        <v>1.0</v>
      </c>
      <c r="B23" s="21">
        <v>2.0</v>
      </c>
      <c r="C23" s="14">
        <f t="shared" ref="C23:C32" si="4">min(H22,M22,S22,Y22,AH22,AL22,AP22,AT22,AX22,BB22,BF22,BJ22,BN22,BR22)</f>
        <v>11.1</v>
      </c>
      <c r="D23" s="63" t="str">
        <f t="shared" ref="D23:D32" si="5">IF(C23=H22,"Llegada Cliente",
IF(C23=M22,"Fin Atención Colorista",
IF(C23=S22,"Fin Atención Peluquero A",
IF(C23=Y22,"Fin Atención Peluquero B",
IF(C23=AH22,"Refrigerio Cliente 1",
IF(C23=AL22,"Refrigerio Cliente 2",
IF(C23=AP22,"Refrigerio Cliente 3",
IF(C23=AT22,"Refrigerio Cliente 4",
IF(C23=AX22,"Refrigerio Cliente 5",
IF(C23=BB22,"Refrigerio Cliente 6",
IF(C23=BF22,"Refrigerio Cliente 7",
IF(C23=BJ22,"Refrigerio Cliente 8",
IF(C23=BN22,"Refrigerio Cliente 9",
IF(C23=BR22,"Refrigerio Cliente 10",
""))))))))))))))</f>
        <v>Llegada Cliente</v>
      </c>
      <c r="E23" s="21">
        <v>1.0</v>
      </c>
      <c r="F23" s="21">
        <v>0.25</v>
      </c>
      <c r="G23" s="14">
        <f t="shared" si="2"/>
        <v>4.5</v>
      </c>
      <c r="H23" s="14">
        <f t="shared" ref="H23:H32" si="6">IF(D23="Llegada Cliente",G23+C23,H22)</f>
        <v>15.6</v>
      </c>
      <c r="I23" s="21">
        <v>0.7</v>
      </c>
      <c r="J23" s="14" t="str">
        <f t="shared" ref="J23:J31" si="7">IF(D23="Llegada Cliente", IF(I23&lt;0.15, "Colorista", IF(I23&lt;0.6, "Peluquero A", "Peluquero B")), "")</f>
        <v>Peluquero B</v>
      </c>
      <c r="K23" s="14" t="str">
        <f t="shared" ref="K23:K32" si="8">IF(AND(K22="Libre", D23="Llegada Cliente", J23="Colorista"), "Ocupado", IF(AND(K22="Ocupado", D23="Fin Atención Colorista", N22=0), "Libre", K22))</f>
        <v>Libre</v>
      </c>
      <c r="L23" s="14" t="str">
        <f t="shared" ref="L23:L32" si="9">IF(AND(K22="Libre", D23="Llegada Cliente", J23="Colorista"), VLOOKUP(N22*1, $K$3:$M$8, 3, FALSE), IF(AND(D23="Fin Atención Colorista", N22&gt;0), VLOOKUP(N23*1, $K$3:$M$8, 3, FALSE), ""))</f>
        <v/>
      </c>
      <c r="M23" s="14" t="str">
        <f t="shared" ref="M23:M32" si="10">IF(K23="Libre","",IF(AND(K23="Ocupado",L23&lt;&gt;""),L23+C23,M22))</f>
        <v/>
      </c>
      <c r="N23" s="14">
        <f t="shared" ref="N23:N32" si="11">IF(AND(K22="Ocupado", D23="Llegada Cliente", J23="Colorista"), N22+1, IF(AND(D23="Fin Atención Colorista", N22&gt;0), N22-1, N22))</f>
        <v>0</v>
      </c>
      <c r="O23" s="14"/>
      <c r="P23" s="14" t="str">
        <f t="shared" ref="P23:P32" si="12">IF(AND(P22="Libre", D23="Llegada Cliente", J23="Peluquero A"), "Ocupado", IF(AND(P22="Ocupado", D23="Fin Atención Peluquero A", T22=0), "Libre", P22))</f>
        <v>Libre</v>
      </c>
      <c r="Q23" s="14"/>
      <c r="R23" s="14" t="str">
        <f t="shared" ref="R23:R30" si="13">IF(AND(P22="Libre", D23="Llegada Cliente", J23="Peluquero A"), VLOOKUP(T22*1, $K$3:$M$8, 2, FALSE), IF(AND(D23="Fin Atención Peluquero A", T22&gt;0), VLOOKUP(T23*1, $K$3:$M$8, 2, FALSE), ""))</f>
        <v/>
      </c>
      <c r="S23" s="14" t="str">
        <f t="shared" ref="S23:S32" si="14">IF(P23="Libre","",IF(AND(P23="Ocupado",R23&lt;&gt;""),R23+C23,S22))</f>
        <v/>
      </c>
      <c r="T23" s="14">
        <f t="shared" ref="T23:T32" si="15">IF(AND(P22="Ocupado", D23="Llegada Cliente", J23="Peluquero A"), T22+1, IF(AND(D23="Fin Atención Peluquero A", T22&gt;0), T22-1, T22))</f>
        <v>0</v>
      </c>
      <c r="U23" s="14"/>
      <c r="V23" s="14" t="str">
        <f t="shared" ref="V23:V32" si="16">IF(AND(V22="Libre", D23="Llegada Cliente", J23="Peluquero B"), "Ocupado", IF(AND(V22="Ocupado", D23="Fin Atención Peluquero B", Z22=0), "Libre", V22))</f>
        <v>Ocupado</v>
      </c>
      <c r="W23" s="14"/>
      <c r="X23" s="14">
        <f t="shared" ref="X23:X27" si="17">IF(AND(V22="Libre", D23="Llegada Cliente", J23="Peluquero B"), VLOOKUP(Z22*1, $K$3:$M$8, 2, FALSE), IF(AND(D23="Fin Atención Peluquero B", Z22&gt;0), VLOOKUP(Z23*1, $K$3:$M$8, 2, FALSE), ""))</f>
        <v>5</v>
      </c>
      <c r="Y23" s="14">
        <f t="shared" ref="Y23:Y34" si="18">IF(V23="Libre","",IF(AND(V23="Ocupado",X23&lt;&gt;""),X23+C23,Y22))</f>
        <v>16.1</v>
      </c>
      <c r="Z23" s="14">
        <f t="shared" ref="Z23:Z32" si="19">IF(AND(V22="Ocupado", D23="Llegada Cliente", J23="Peluquero B"), Z22+1, IF(AND(D23="Fin Atención Peluquero B", Z22&gt;0), Z22-1, Z22))</f>
        <v>0</v>
      </c>
      <c r="AA23" s="14"/>
      <c r="AB23" s="14">
        <f>IFERROR(__xludf.DUMMYFUNCTION("IF(D23=""Fin Atención Colorista"",AB22+35000,IF(D23=""Fin Atención Peluquero A"",AB22+18000,IF(D23=""Fin Atención Peluquero B"",AB22+18000,IF(REGEXMATCH(D23,""Refrigerio""),AB22-AC23,AB22))))"),0.0)</f>
        <v>0</v>
      </c>
      <c r="AC23" s="21">
        <f>IFERROR(__xludf.DUMMYFUNCTION("IF(REGEXMATCH(D23,""Refrigerio""),6500,0)"),0.0)</f>
        <v>0</v>
      </c>
      <c r="AD23" s="14">
        <f t="shared" si="3"/>
        <v>0</v>
      </c>
      <c r="AE23" s="14">
        <f t="shared" ref="AE23:AE32" si="20">max($AF$22:AF23)</f>
        <v>0</v>
      </c>
      <c r="AF23" s="14">
        <f t="shared" ref="AF23:AF32" si="21">SUM(N23,Z23,T23)</f>
        <v>0</v>
      </c>
      <c r="AG23" s="21" t="s">
        <v>73</v>
      </c>
      <c r="AH23" s="14"/>
      <c r="AI23" s="21" t="s">
        <v>74</v>
      </c>
      <c r="AJ23" s="21">
        <v>0.0</v>
      </c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</row>
    <row r="24">
      <c r="A24" s="21">
        <v>1.0</v>
      </c>
      <c r="B24" s="21">
        <v>3.0</v>
      </c>
      <c r="C24" s="14">
        <f t="shared" si="4"/>
        <v>15.6</v>
      </c>
      <c r="D24" s="63" t="str">
        <f t="shared" si="5"/>
        <v>Llegada Cliente</v>
      </c>
      <c r="E24" s="21">
        <v>2.0</v>
      </c>
      <c r="F24" s="21">
        <v>0.99</v>
      </c>
      <c r="G24" s="14">
        <f t="shared" si="2"/>
        <v>11.9</v>
      </c>
      <c r="H24" s="14">
        <f t="shared" si="6"/>
        <v>27.5</v>
      </c>
      <c r="I24" s="21">
        <v>0.12</v>
      </c>
      <c r="J24" s="14" t="str">
        <f t="shared" si="7"/>
        <v>Colorista</v>
      </c>
      <c r="K24" s="14" t="str">
        <f t="shared" si="8"/>
        <v>Ocupado</v>
      </c>
      <c r="L24" s="14">
        <f t="shared" si="9"/>
        <v>6</v>
      </c>
      <c r="M24" s="14">
        <f t="shared" si="10"/>
        <v>21.6</v>
      </c>
      <c r="N24" s="14">
        <f t="shared" si="11"/>
        <v>0</v>
      </c>
      <c r="O24" s="14"/>
      <c r="P24" s="14" t="str">
        <f t="shared" si="12"/>
        <v>Libre</v>
      </c>
      <c r="Q24" s="14"/>
      <c r="R24" s="14" t="str">
        <f t="shared" si="13"/>
        <v/>
      </c>
      <c r="S24" s="14" t="str">
        <f t="shared" si="14"/>
        <v/>
      </c>
      <c r="T24" s="14">
        <f t="shared" si="15"/>
        <v>0</v>
      </c>
      <c r="U24" s="14"/>
      <c r="V24" s="14" t="str">
        <f t="shared" si="16"/>
        <v>Ocupado</v>
      </c>
      <c r="W24" s="14"/>
      <c r="X24" s="14" t="str">
        <f t="shared" si="17"/>
        <v/>
      </c>
      <c r="Y24" s="14">
        <f t="shared" si="18"/>
        <v>16.1</v>
      </c>
      <c r="Z24" s="14">
        <f t="shared" si="19"/>
        <v>0</v>
      </c>
      <c r="AA24" s="14"/>
      <c r="AB24" s="14">
        <f>IFERROR(__xludf.DUMMYFUNCTION("IF(D24=""Fin Atención Colorista"",AB23+35000,IF(D24=""Fin Atención Peluquero A"",AB23+18000,IF(D24=""Fin Atención Peluquero B"",AB23+18000,IF(REGEXMATCH(D24,""Refrigerio""),AB23-AC24,AB23))))"),0.0)</f>
        <v>0</v>
      </c>
      <c r="AC24" s="21">
        <f>IFERROR(__xludf.DUMMYFUNCTION("IF(REGEXMATCH(D24,""Refrigerio""),6500,0)"),0.0)</f>
        <v>0</v>
      </c>
      <c r="AD24" s="14">
        <f t="shared" si="3"/>
        <v>0</v>
      </c>
      <c r="AE24" s="14">
        <f t="shared" si="20"/>
        <v>0</v>
      </c>
      <c r="AF24" s="14">
        <f t="shared" si="21"/>
        <v>0</v>
      </c>
      <c r="AG24" s="21" t="s">
        <v>73</v>
      </c>
      <c r="AH24" s="14"/>
      <c r="AI24" s="21" t="s">
        <v>74</v>
      </c>
      <c r="AJ24" s="21">
        <v>0.0</v>
      </c>
      <c r="AK24" s="21" t="s">
        <v>75</v>
      </c>
      <c r="AL24" s="14"/>
      <c r="AM24" s="21" t="s">
        <v>74</v>
      </c>
      <c r="AN24" s="21">
        <v>0.0</v>
      </c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</row>
    <row r="25">
      <c r="A25" s="21">
        <v>1.0</v>
      </c>
      <c r="B25" s="21">
        <v>4.0</v>
      </c>
      <c r="C25" s="14">
        <f t="shared" si="4"/>
        <v>16.1</v>
      </c>
      <c r="D25" s="63" t="str">
        <f t="shared" si="5"/>
        <v>Fin Atención Peluquero B</v>
      </c>
      <c r="E25" s="21">
        <v>1.0</v>
      </c>
      <c r="F25" s="14"/>
      <c r="G25" s="14"/>
      <c r="H25" s="14">
        <f t="shared" si="6"/>
        <v>27.5</v>
      </c>
      <c r="I25" s="14"/>
      <c r="J25" s="14" t="str">
        <f t="shared" si="7"/>
        <v/>
      </c>
      <c r="K25" s="14" t="str">
        <f t="shared" si="8"/>
        <v>Ocupado</v>
      </c>
      <c r="L25" s="14" t="str">
        <f t="shared" si="9"/>
        <v/>
      </c>
      <c r="M25" s="14">
        <f t="shared" si="10"/>
        <v>21.6</v>
      </c>
      <c r="N25" s="14">
        <f t="shared" si="11"/>
        <v>0</v>
      </c>
      <c r="O25" s="14"/>
      <c r="P25" s="14" t="str">
        <f t="shared" si="12"/>
        <v>Libre</v>
      </c>
      <c r="Q25" s="14"/>
      <c r="R25" s="14" t="str">
        <f t="shared" si="13"/>
        <v/>
      </c>
      <c r="S25" s="14" t="str">
        <f t="shared" si="14"/>
        <v/>
      </c>
      <c r="T25" s="14">
        <f t="shared" si="15"/>
        <v>0</v>
      </c>
      <c r="U25" s="14"/>
      <c r="V25" s="14" t="str">
        <f t="shared" si="16"/>
        <v>Libre</v>
      </c>
      <c r="W25" s="14"/>
      <c r="X25" s="14" t="str">
        <f t="shared" si="17"/>
        <v/>
      </c>
      <c r="Y25" s="14" t="str">
        <f t="shared" si="18"/>
        <v/>
      </c>
      <c r="Z25" s="14">
        <f t="shared" si="19"/>
        <v>0</v>
      </c>
      <c r="AA25" s="14"/>
      <c r="AB25" s="14">
        <f>IFERROR(__xludf.DUMMYFUNCTION("IF(D25=""Fin Atención Colorista"",AB24+35000,IF(D25=""Fin Atención Peluquero A"",AB24+18000,IF(D25=""Fin Atención Peluquero B"",AB24+18000,IF(REGEXMATCH(D25,""Refrigerio""),AB24-AC25,AB24))))"),18000.0)</f>
        <v>18000</v>
      </c>
      <c r="AC25" s="21">
        <f>IFERROR(__xludf.DUMMYFUNCTION("IF(REGEXMATCH(D25,""Refrigerio""),6500,0)"),0.0)</f>
        <v>0</v>
      </c>
      <c r="AD25" s="14">
        <f t="shared" si="3"/>
        <v>18000</v>
      </c>
      <c r="AE25" s="14">
        <f t="shared" si="20"/>
        <v>0</v>
      </c>
      <c r="AF25" s="14">
        <f t="shared" si="21"/>
        <v>0</v>
      </c>
      <c r="AG25" s="64"/>
      <c r="AH25" s="64"/>
      <c r="AI25" s="64"/>
      <c r="AJ25" s="64"/>
      <c r="AK25" s="21" t="s">
        <v>75</v>
      </c>
      <c r="AL25" s="14"/>
      <c r="AM25" s="21" t="s">
        <v>74</v>
      </c>
      <c r="AN25" s="21">
        <v>0.0</v>
      </c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</row>
    <row r="26">
      <c r="A26" s="21">
        <v>1.0</v>
      </c>
      <c r="B26" s="21">
        <v>5.0</v>
      </c>
      <c r="C26" s="14">
        <f t="shared" si="4"/>
        <v>21.6</v>
      </c>
      <c r="D26" s="63" t="str">
        <f t="shared" si="5"/>
        <v>Fin Atención Colorista</v>
      </c>
      <c r="E26" s="21">
        <v>2.0</v>
      </c>
      <c r="F26" s="14"/>
      <c r="G26" s="14"/>
      <c r="H26" s="14">
        <f t="shared" si="6"/>
        <v>27.5</v>
      </c>
      <c r="I26" s="14"/>
      <c r="J26" s="14" t="str">
        <f t="shared" si="7"/>
        <v/>
      </c>
      <c r="K26" s="14" t="str">
        <f t="shared" si="8"/>
        <v>Libre</v>
      </c>
      <c r="L26" s="14" t="str">
        <f t="shared" si="9"/>
        <v/>
      </c>
      <c r="M26" s="14" t="str">
        <f t="shared" si="10"/>
        <v/>
      </c>
      <c r="N26" s="14">
        <f t="shared" si="11"/>
        <v>0</v>
      </c>
      <c r="O26" s="14"/>
      <c r="P26" s="14" t="str">
        <f t="shared" si="12"/>
        <v>Libre</v>
      </c>
      <c r="Q26" s="14"/>
      <c r="R26" s="14" t="str">
        <f t="shared" si="13"/>
        <v/>
      </c>
      <c r="S26" s="14" t="str">
        <f t="shared" si="14"/>
        <v/>
      </c>
      <c r="T26" s="14">
        <f t="shared" si="15"/>
        <v>0</v>
      </c>
      <c r="U26" s="14"/>
      <c r="V26" s="14" t="str">
        <f t="shared" si="16"/>
        <v>Libre</v>
      </c>
      <c r="W26" s="14"/>
      <c r="X26" s="14" t="str">
        <f t="shared" si="17"/>
        <v/>
      </c>
      <c r="Y26" s="14" t="str">
        <f t="shared" si="18"/>
        <v/>
      </c>
      <c r="Z26" s="14">
        <f t="shared" si="19"/>
        <v>0</v>
      </c>
      <c r="AA26" s="14"/>
      <c r="AB26" s="14">
        <f>IFERROR(__xludf.DUMMYFUNCTION("IF(D26=""Fin Atención Colorista"",AB25+35000,IF(D26=""Fin Atención Peluquero A"",AB25+18000,IF(D26=""Fin Atención Peluquero B"",AB25+18000,IF(REGEXMATCH(D26,""Refrigerio""),AB25-AC26,AB25))))"),53000.0)</f>
        <v>53000</v>
      </c>
      <c r="AC26" s="21">
        <f>IFERROR(__xludf.DUMMYFUNCTION("IF(REGEXMATCH(D26,""Refrigerio""),6500,0)"),0.0)</f>
        <v>0</v>
      </c>
      <c r="AD26" s="14">
        <f t="shared" si="3"/>
        <v>35000</v>
      </c>
      <c r="AE26" s="14">
        <f t="shared" si="20"/>
        <v>0</v>
      </c>
      <c r="AF26" s="14">
        <f t="shared" si="21"/>
        <v>0</v>
      </c>
      <c r="AG26" s="14"/>
      <c r="AH26" s="14"/>
      <c r="AI26" s="14"/>
      <c r="AJ26" s="14"/>
      <c r="AK26" s="64"/>
      <c r="AL26" s="64"/>
      <c r="AM26" s="64"/>
      <c r="AN26" s="6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</row>
    <row r="27">
      <c r="A27" s="21">
        <v>1.0</v>
      </c>
      <c r="B27" s="21">
        <v>6.0</v>
      </c>
      <c r="C27" s="14">
        <f t="shared" si="4"/>
        <v>27.5</v>
      </c>
      <c r="D27" s="63" t="str">
        <f t="shared" si="5"/>
        <v>Llegada Cliente</v>
      </c>
      <c r="E27" s="21">
        <v>3.0</v>
      </c>
      <c r="F27" s="21">
        <v>0.01</v>
      </c>
      <c r="G27" s="14">
        <f t="shared" ref="G27:G29" si="22">2+F27*(12-2)</f>
        <v>2.1</v>
      </c>
      <c r="H27" s="14">
        <f t="shared" si="6"/>
        <v>29.6</v>
      </c>
      <c r="I27" s="21">
        <v>0.25</v>
      </c>
      <c r="J27" s="14" t="str">
        <f t="shared" si="7"/>
        <v>Peluquero A</v>
      </c>
      <c r="K27" s="14" t="str">
        <f t="shared" si="8"/>
        <v>Libre</v>
      </c>
      <c r="L27" s="14" t="str">
        <f t="shared" si="9"/>
        <v/>
      </c>
      <c r="M27" s="14" t="str">
        <f t="shared" si="10"/>
        <v/>
      </c>
      <c r="N27" s="14">
        <f t="shared" si="11"/>
        <v>0</v>
      </c>
      <c r="O27" s="14"/>
      <c r="P27" s="14" t="str">
        <f t="shared" si="12"/>
        <v>Ocupado</v>
      </c>
      <c r="Q27" s="14"/>
      <c r="R27" s="14">
        <f t="shared" si="13"/>
        <v>5</v>
      </c>
      <c r="S27" s="14">
        <f t="shared" si="14"/>
        <v>32.5</v>
      </c>
      <c r="T27" s="14">
        <f t="shared" si="15"/>
        <v>0</v>
      </c>
      <c r="U27" s="14"/>
      <c r="V27" s="14" t="str">
        <f t="shared" si="16"/>
        <v>Libre</v>
      </c>
      <c r="W27" s="14"/>
      <c r="X27" s="14" t="str">
        <f t="shared" si="17"/>
        <v/>
      </c>
      <c r="Y27" s="14" t="str">
        <f t="shared" si="18"/>
        <v/>
      </c>
      <c r="Z27" s="14">
        <f t="shared" si="19"/>
        <v>0</v>
      </c>
      <c r="AA27" s="14"/>
      <c r="AB27" s="14">
        <f>IFERROR(__xludf.DUMMYFUNCTION("IF(D27=""Fin Atención Colorista"",AB26+35000,IF(D27=""Fin Atención Peluquero A"",AB26+18000,IF(D27=""Fin Atención Peluquero B"",AB26+18000,IF(REGEXMATCH(D27,""Refrigerio""),AB26-AC27,AB26))))"),53000.0)</f>
        <v>53000</v>
      </c>
      <c r="AC27" s="21">
        <f>IFERROR(__xludf.DUMMYFUNCTION("IF(REGEXMATCH(D27,""Refrigerio""),6500,0)"),0.0)</f>
        <v>0</v>
      </c>
      <c r="AD27" s="14">
        <f t="shared" si="3"/>
        <v>0</v>
      </c>
      <c r="AE27" s="14">
        <f t="shared" si="20"/>
        <v>0</v>
      </c>
      <c r="AF27" s="14">
        <f t="shared" si="21"/>
        <v>0</v>
      </c>
      <c r="AG27" s="14"/>
      <c r="AH27" s="14"/>
      <c r="AI27" s="14"/>
      <c r="AJ27" s="14"/>
      <c r="AK27" s="14"/>
      <c r="AL27" s="14"/>
      <c r="AM27" s="14"/>
      <c r="AN27" s="14"/>
      <c r="AO27" s="21" t="s">
        <v>76</v>
      </c>
      <c r="AP27" s="14"/>
      <c r="AQ27" s="21" t="s">
        <v>74</v>
      </c>
      <c r="AR27" s="21">
        <v>0.0</v>
      </c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</row>
    <row r="28">
      <c r="A28" s="21">
        <v>1.0</v>
      </c>
      <c r="B28" s="21">
        <v>7.0</v>
      </c>
      <c r="C28" s="14">
        <f t="shared" si="4"/>
        <v>29.6</v>
      </c>
      <c r="D28" s="63" t="str">
        <f t="shared" si="5"/>
        <v>Llegada Cliente</v>
      </c>
      <c r="E28" s="21">
        <v>4.0</v>
      </c>
      <c r="F28" s="21">
        <v>0.03</v>
      </c>
      <c r="G28" s="14">
        <f t="shared" si="22"/>
        <v>2.3</v>
      </c>
      <c r="H28" s="14">
        <f t="shared" si="6"/>
        <v>31.9</v>
      </c>
      <c r="I28" s="21">
        <v>0.24</v>
      </c>
      <c r="J28" s="14" t="str">
        <f t="shared" si="7"/>
        <v>Peluquero A</v>
      </c>
      <c r="K28" s="14" t="str">
        <f t="shared" si="8"/>
        <v>Libre</v>
      </c>
      <c r="L28" s="14" t="str">
        <f t="shared" si="9"/>
        <v/>
      </c>
      <c r="M28" s="14" t="str">
        <f t="shared" si="10"/>
        <v/>
      </c>
      <c r="N28" s="14">
        <f t="shared" si="11"/>
        <v>0</v>
      </c>
      <c r="O28" s="14"/>
      <c r="P28" s="14" t="str">
        <f t="shared" si="12"/>
        <v>Ocupado</v>
      </c>
      <c r="Q28" s="14"/>
      <c r="R28" s="14" t="str">
        <f t="shared" si="13"/>
        <v/>
      </c>
      <c r="S28" s="14">
        <f t="shared" si="14"/>
        <v>32.5</v>
      </c>
      <c r="T28" s="14">
        <f t="shared" si="15"/>
        <v>1</v>
      </c>
      <c r="U28" s="14"/>
      <c r="V28" s="14" t="str">
        <f t="shared" si="16"/>
        <v>Libre</v>
      </c>
      <c r="W28" s="14"/>
      <c r="X28" s="14"/>
      <c r="Y28" s="14" t="str">
        <f t="shared" si="18"/>
        <v/>
      </c>
      <c r="Z28" s="14">
        <f t="shared" si="19"/>
        <v>0</v>
      </c>
      <c r="AA28" s="14"/>
      <c r="AB28" s="14">
        <f>IFERROR(__xludf.DUMMYFUNCTION("IF(D28=""Fin Atención Colorista"",AB27+35000,IF(D28=""Fin Atención Peluquero A"",AB27+18000,IF(D28=""Fin Atención Peluquero B"",AB27+18000,IF(REGEXMATCH(D28,""Refrigerio""),AB27-AC28,AB27))))"),53000.0)</f>
        <v>53000</v>
      </c>
      <c r="AC28" s="21">
        <f>IFERROR(__xludf.DUMMYFUNCTION("IF(REGEXMATCH(D28,""Refrigerio""),6500,0)"),0.0)</f>
        <v>0</v>
      </c>
      <c r="AD28" s="14">
        <f t="shared" si="3"/>
        <v>0</v>
      </c>
      <c r="AE28" s="14">
        <f t="shared" si="20"/>
        <v>1</v>
      </c>
      <c r="AF28" s="14">
        <f t="shared" si="21"/>
        <v>1</v>
      </c>
      <c r="AG28" s="14"/>
      <c r="AH28" s="14"/>
      <c r="AI28" s="14"/>
      <c r="AJ28" s="14"/>
      <c r="AK28" s="14"/>
      <c r="AL28" s="14"/>
      <c r="AM28" s="14"/>
      <c r="AN28" s="14"/>
      <c r="AO28" s="21" t="s">
        <v>76</v>
      </c>
      <c r="AP28" s="14"/>
      <c r="AQ28" s="21" t="s">
        <v>74</v>
      </c>
      <c r="AR28" s="21">
        <v>0.0</v>
      </c>
      <c r="AS28" s="21" t="s">
        <v>77</v>
      </c>
      <c r="AT28" s="14">
        <f t="shared" ref="AT28:AT29" si="23">30+$C$28</f>
        <v>59.6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</row>
    <row r="29">
      <c r="A29" s="21">
        <v>1.0</v>
      </c>
      <c r="B29" s="21">
        <v>8.0</v>
      </c>
      <c r="C29" s="14">
        <f t="shared" si="4"/>
        <v>31.9</v>
      </c>
      <c r="D29" s="63" t="str">
        <f t="shared" si="5"/>
        <v>Llegada Cliente</v>
      </c>
      <c r="E29" s="21">
        <v>5.0</v>
      </c>
      <c r="F29" s="21">
        <v>0.23</v>
      </c>
      <c r="G29" s="14">
        <f t="shared" si="22"/>
        <v>4.3</v>
      </c>
      <c r="H29" s="14">
        <f t="shared" si="6"/>
        <v>36.2</v>
      </c>
      <c r="I29" s="21">
        <v>0.1</v>
      </c>
      <c r="J29" s="14" t="str">
        <f t="shared" si="7"/>
        <v>Colorista</v>
      </c>
      <c r="K29" s="14" t="str">
        <f t="shared" si="8"/>
        <v>Ocupado</v>
      </c>
      <c r="L29" s="14">
        <f t="shared" si="9"/>
        <v>6</v>
      </c>
      <c r="M29" s="14">
        <f t="shared" si="10"/>
        <v>37.9</v>
      </c>
      <c r="N29" s="14">
        <f t="shared" si="11"/>
        <v>0</v>
      </c>
      <c r="O29" s="14"/>
      <c r="P29" s="14" t="str">
        <f t="shared" si="12"/>
        <v>Ocupado</v>
      </c>
      <c r="Q29" s="14"/>
      <c r="R29" s="14" t="str">
        <f t="shared" si="13"/>
        <v/>
      </c>
      <c r="S29" s="14">
        <f t="shared" si="14"/>
        <v>32.5</v>
      </c>
      <c r="T29" s="14">
        <f t="shared" si="15"/>
        <v>1</v>
      </c>
      <c r="U29" s="14"/>
      <c r="V29" s="14" t="str">
        <f t="shared" si="16"/>
        <v>Libre</v>
      </c>
      <c r="W29" s="14"/>
      <c r="X29" s="14"/>
      <c r="Y29" s="14" t="str">
        <f t="shared" si="18"/>
        <v/>
      </c>
      <c r="Z29" s="14">
        <f t="shared" si="19"/>
        <v>0</v>
      </c>
      <c r="AA29" s="14"/>
      <c r="AB29" s="14">
        <f>IFERROR(__xludf.DUMMYFUNCTION("IF(D29=""Fin Atención Colorista"",AB28+35000,IF(D29=""Fin Atención Peluquero A"",AB28+18000,IF(D29=""Fin Atención Peluquero B"",AB28+18000,IF(REGEXMATCH(D29,""Refrigerio""),AB28-AC29,AB28))))"),53000.0)</f>
        <v>53000</v>
      </c>
      <c r="AC29" s="21">
        <f>IFERROR(__xludf.DUMMYFUNCTION("IF(REGEXMATCH(D29,""Refrigerio""),6500,0)"),0.0)</f>
        <v>0</v>
      </c>
      <c r="AD29" s="14">
        <f t="shared" si="3"/>
        <v>0</v>
      </c>
      <c r="AE29" s="14">
        <f t="shared" si="20"/>
        <v>1</v>
      </c>
      <c r="AF29" s="14">
        <f t="shared" si="21"/>
        <v>1</v>
      </c>
      <c r="AG29" s="14"/>
      <c r="AH29" s="14"/>
      <c r="AI29" s="14"/>
      <c r="AJ29" s="14"/>
      <c r="AK29" s="14"/>
      <c r="AL29" s="14"/>
      <c r="AM29" s="14"/>
      <c r="AN29" s="14"/>
      <c r="AO29" s="21" t="s">
        <v>76</v>
      </c>
      <c r="AP29" s="14"/>
      <c r="AQ29" s="21" t="s">
        <v>74</v>
      </c>
      <c r="AR29" s="21">
        <v>0.0</v>
      </c>
      <c r="AS29" s="21" t="s">
        <v>77</v>
      </c>
      <c r="AT29" s="14">
        <f t="shared" si="23"/>
        <v>59.6</v>
      </c>
      <c r="AU29" s="14"/>
      <c r="AV29" s="21">
        <v>0.0</v>
      </c>
      <c r="AW29" s="21" t="s">
        <v>75</v>
      </c>
      <c r="AX29" s="14"/>
      <c r="AY29" s="21" t="s">
        <v>74</v>
      </c>
      <c r="AZ29" s="21">
        <v>0.0</v>
      </c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</row>
    <row r="30" ht="28.5" customHeight="1">
      <c r="A30" s="21">
        <v>1.0</v>
      </c>
      <c r="B30" s="21">
        <v>9.0</v>
      </c>
      <c r="C30" s="14">
        <f t="shared" si="4"/>
        <v>32.5</v>
      </c>
      <c r="D30" s="63" t="str">
        <f t="shared" si="5"/>
        <v>Fin Atención Peluquero A</v>
      </c>
      <c r="E30" s="21">
        <v>3.0</v>
      </c>
      <c r="F30" s="14"/>
      <c r="G30" s="14"/>
      <c r="H30" s="14">
        <f t="shared" si="6"/>
        <v>36.2</v>
      </c>
      <c r="I30" s="14"/>
      <c r="J30" s="14" t="str">
        <f t="shared" si="7"/>
        <v/>
      </c>
      <c r="K30" s="14" t="str">
        <f t="shared" si="8"/>
        <v>Ocupado</v>
      </c>
      <c r="L30" s="14" t="str">
        <f t="shared" si="9"/>
        <v/>
      </c>
      <c r="M30" s="14">
        <f t="shared" si="10"/>
        <v>37.9</v>
      </c>
      <c r="N30" s="14">
        <f t="shared" si="11"/>
        <v>0</v>
      </c>
      <c r="O30" s="14"/>
      <c r="P30" s="14" t="str">
        <f t="shared" si="12"/>
        <v>Ocupado</v>
      </c>
      <c r="Q30" s="14"/>
      <c r="R30" s="14">
        <f t="shared" si="13"/>
        <v>5</v>
      </c>
      <c r="S30" s="14">
        <f t="shared" si="14"/>
        <v>37.5</v>
      </c>
      <c r="T30" s="14">
        <f t="shared" si="15"/>
        <v>0</v>
      </c>
      <c r="U30" s="14"/>
      <c r="V30" s="14" t="str">
        <f t="shared" si="16"/>
        <v>Libre</v>
      </c>
      <c r="W30" s="14"/>
      <c r="X30" s="14"/>
      <c r="Y30" s="14" t="str">
        <f t="shared" si="18"/>
        <v/>
      </c>
      <c r="Z30" s="14">
        <f t="shared" si="19"/>
        <v>0</v>
      </c>
      <c r="AA30" s="14"/>
      <c r="AB30" s="14">
        <f>IFERROR(__xludf.DUMMYFUNCTION("IF(D30=""Fin Atención Colorista"",AB29+35000,IF(D30=""Fin Atención Peluquero A"",AB29+18000,IF(D30=""Fin Atención Peluquero B"",AB29+18000,IF(REGEXMATCH(D30,""Refrigerio""),AB29-AC30,AB29))))"),71000.0)</f>
        <v>71000</v>
      </c>
      <c r="AC30" s="21">
        <f>IFERROR(__xludf.DUMMYFUNCTION("IF(REGEXMATCH(D30,""Refrigerio""),6500,0)"),0.0)</f>
        <v>0</v>
      </c>
      <c r="AD30" s="14">
        <f t="shared" si="3"/>
        <v>18000</v>
      </c>
      <c r="AE30" s="14">
        <f t="shared" si="20"/>
        <v>1</v>
      </c>
      <c r="AF30" s="14">
        <f t="shared" si="21"/>
        <v>0</v>
      </c>
      <c r="AG30" s="14"/>
      <c r="AH30" s="14"/>
      <c r="AI30" s="14"/>
      <c r="AJ30" s="14"/>
      <c r="AK30" s="14"/>
      <c r="AL30" s="14"/>
      <c r="AM30" s="14"/>
      <c r="AN30" s="14"/>
      <c r="AO30" s="64"/>
      <c r="AP30" s="64"/>
      <c r="AQ30" s="64"/>
      <c r="AR30" s="64"/>
      <c r="AS30" s="21" t="s">
        <v>76</v>
      </c>
      <c r="AT30" s="14"/>
      <c r="AU30" s="21" t="s">
        <v>74</v>
      </c>
      <c r="AV30" s="21">
        <v>0.0</v>
      </c>
      <c r="AW30" s="21" t="s">
        <v>75</v>
      </c>
      <c r="AX30" s="14"/>
      <c r="AY30" s="21" t="s">
        <v>74</v>
      </c>
      <c r="AZ30" s="21">
        <v>0.0</v>
      </c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</row>
    <row r="31">
      <c r="A31" s="21">
        <v>1.0</v>
      </c>
      <c r="B31" s="21">
        <v>10.0</v>
      </c>
      <c r="C31" s="14">
        <f t="shared" si="4"/>
        <v>36.2</v>
      </c>
      <c r="D31" s="63" t="str">
        <f t="shared" si="5"/>
        <v>Llegada Cliente</v>
      </c>
      <c r="E31" s="21">
        <v>6.0</v>
      </c>
      <c r="F31" s="21">
        <v>0.45</v>
      </c>
      <c r="G31" s="14">
        <f>2+F31*(12-2)</f>
        <v>6.5</v>
      </c>
      <c r="H31" s="14">
        <f t="shared" si="6"/>
        <v>42.7</v>
      </c>
      <c r="I31" s="21">
        <v>0.11</v>
      </c>
      <c r="J31" s="14" t="str">
        <f t="shared" si="7"/>
        <v>Colorista</v>
      </c>
      <c r="K31" s="14" t="str">
        <f t="shared" si="8"/>
        <v>Ocupado</v>
      </c>
      <c r="L31" s="14" t="str">
        <f t="shared" si="9"/>
        <v/>
      </c>
      <c r="M31" s="14">
        <f t="shared" si="10"/>
        <v>37.9</v>
      </c>
      <c r="N31" s="14">
        <f t="shared" si="11"/>
        <v>1</v>
      </c>
      <c r="O31" s="14"/>
      <c r="P31" s="14" t="str">
        <f t="shared" si="12"/>
        <v>Ocupado</v>
      </c>
      <c r="Q31" s="14"/>
      <c r="R31" s="14"/>
      <c r="S31" s="14">
        <f t="shared" si="14"/>
        <v>37.5</v>
      </c>
      <c r="T31" s="14">
        <f t="shared" si="15"/>
        <v>0</v>
      </c>
      <c r="U31" s="14"/>
      <c r="V31" s="14" t="str">
        <f t="shared" si="16"/>
        <v>Libre</v>
      </c>
      <c r="W31" s="14"/>
      <c r="X31" s="14"/>
      <c r="Y31" s="14" t="str">
        <f t="shared" si="18"/>
        <v/>
      </c>
      <c r="Z31" s="14">
        <f t="shared" si="19"/>
        <v>0</v>
      </c>
      <c r="AA31" s="14"/>
      <c r="AB31" s="14">
        <f>IFERROR(__xludf.DUMMYFUNCTION("IF(D31=""Fin Atención Colorista"",AB30+35000,IF(D31=""Fin Atención Peluquero A"",AB30+18000,IF(D31=""Fin Atención Peluquero B"",AB30+18000,IF(REGEXMATCH(D31,""Refrigerio""),AB30-AC31,AB30))))"),71000.0)</f>
        <v>71000</v>
      </c>
      <c r="AC31" s="21">
        <f>IFERROR(__xludf.DUMMYFUNCTION("IF(REGEXMATCH(D31,""Refrigerio""),6500,0)"),0.0)</f>
        <v>0</v>
      </c>
      <c r="AD31" s="14">
        <f t="shared" si="3"/>
        <v>0</v>
      </c>
      <c r="AE31" s="14">
        <f t="shared" si="20"/>
        <v>1</v>
      </c>
      <c r="AF31" s="14">
        <f t="shared" si="21"/>
        <v>1</v>
      </c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21" t="s">
        <v>76</v>
      </c>
      <c r="AT31" s="14"/>
      <c r="AU31" s="21" t="s">
        <v>74</v>
      </c>
      <c r="AV31" s="21">
        <v>0.0</v>
      </c>
      <c r="AW31" s="21" t="s">
        <v>75</v>
      </c>
      <c r="AX31" s="14"/>
      <c r="AY31" s="21" t="s">
        <v>74</v>
      </c>
      <c r="AZ31" s="21">
        <v>0.0</v>
      </c>
      <c r="BA31" s="21" t="s">
        <v>78</v>
      </c>
      <c r="BB31" s="14">
        <f>1+C31</f>
        <v>37.2</v>
      </c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</row>
    <row r="32">
      <c r="A32" s="21">
        <v>1.0</v>
      </c>
      <c r="B32" s="21">
        <v>11.0</v>
      </c>
      <c r="C32" s="14">
        <f t="shared" si="4"/>
        <v>37.2</v>
      </c>
      <c r="D32" s="63" t="str">
        <f t="shared" si="5"/>
        <v>Refrigerio Cliente 6</v>
      </c>
      <c r="E32" s="14"/>
      <c r="F32" s="14"/>
      <c r="G32" s="14"/>
      <c r="H32" s="14">
        <f t="shared" si="6"/>
        <v>42.7</v>
      </c>
      <c r="I32" s="14"/>
      <c r="J32" s="14"/>
      <c r="K32" s="14" t="str">
        <f t="shared" si="8"/>
        <v>Ocupado</v>
      </c>
      <c r="L32" s="14" t="str">
        <f t="shared" si="9"/>
        <v/>
      </c>
      <c r="M32" s="14">
        <f t="shared" si="10"/>
        <v>37.9</v>
      </c>
      <c r="N32" s="14">
        <f t="shared" si="11"/>
        <v>1</v>
      </c>
      <c r="O32" s="14"/>
      <c r="P32" s="14" t="str">
        <f t="shared" si="12"/>
        <v>Ocupado</v>
      </c>
      <c r="Q32" s="14"/>
      <c r="R32" s="14"/>
      <c r="S32" s="14">
        <f t="shared" si="14"/>
        <v>37.5</v>
      </c>
      <c r="T32" s="14">
        <f t="shared" si="15"/>
        <v>0</v>
      </c>
      <c r="U32" s="14"/>
      <c r="V32" s="14" t="str">
        <f t="shared" si="16"/>
        <v>Libre</v>
      </c>
      <c r="W32" s="14"/>
      <c r="X32" s="14"/>
      <c r="Y32" s="14" t="str">
        <f t="shared" si="18"/>
        <v/>
      </c>
      <c r="Z32" s="14">
        <f t="shared" si="19"/>
        <v>0</v>
      </c>
      <c r="AA32" s="14"/>
      <c r="AB32" s="14">
        <f>IFERROR(__xludf.DUMMYFUNCTION("IF(D32=""Fin Atención Colorista"",AB31+35000,IF(D32=""Fin Atención Peluquero A"",AB31+18000,IF(D32=""Fin Atención Peluquero B"",AB31+18000,IF(REGEXMATCH(D32,""Refrigerio""),AB31-AC32,AB31))))"),64500.0)</f>
        <v>64500</v>
      </c>
      <c r="AC32" s="21">
        <f>IFERROR(__xludf.DUMMYFUNCTION("IF(REGEXMATCH(D32,""Refrigerio""),6500,0)"),6500.0)</f>
        <v>6500</v>
      </c>
      <c r="AD32" s="14">
        <f t="shared" si="3"/>
        <v>0</v>
      </c>
      <c r="AE32" s="14">
        <f t="shared" si="20"/>
        <v>1</v>
      </c>
      <c r="AF32" s="14">
        <f t="shared" si="21"/>
        <v>1</v>
      </c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21" t="s">
        <v>76</v>
      </c>
      <c r="AT32" s="14"/>
      <c r="AU32" s="21" t="s">
        <v>74</v>
      </c>
      <c r="AV32" s="21">
        <v>0.0</v>
      </c>
      <c r="AW32" s="21" t="s">
        <v>75</v>
      </c>
      <c r="AX32" s="14"/>
      <c r="AY32" s="21" t="s">
        <v>74</v>
      </c>
      <c r="AZ32" s="21">
        <v>0.0</v>
      </c>
      <c r="BA32" s="21" t="s">
        <v>78</v>
      </c>
      <c r="BB32" s="14"/>
      <c r="BC32" s="21" t="s">
        <v>79</v>
      </c>
      <c r="BD32" s="21">
        <v>6500.0</v>
      </c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</row>
    <row r="33">
      <c r="Y33" s="65" t="str">
        <f t="shared" si="18"/>
        <v/>
      </c>
      <c r="BB33" s="66" t="s">
        <v>80</v>
      </c>
      <c r="BC33" s="67"/>
      <c r="BD33" s="67"/>
      <c r="BE33" s="67"/>
      <c r="BF33" s="67"/>
    </row>
    <row r="34">
      <c r="Y34" s="65" t="str">
        <f t="shared" si="18"/>
        <v/>
      </c>
    </row>
    <row r="35">
      <c r="C35" s="68" t="s">
        <v>81</v>
      </c>
    </row>
  </sheetData>
  <mergeCells count="10">
    <mergeCell ref="V20:AA20"/>
    <mergeCell ref="AG20:AP20"/>
    <mergeCell ref="F1:J1"/>
    <mergeCell ref="K1:M1"/>
    <mergeCell ref="C5:E5"/>
    <mergeCell ref="A13:C13"/>
    <mergeCell ref="F20:H20"/>
    <mergeCell ref="K20:O20"/>
    <mergeCell ref="P20:U20"/>
    <mergeCell ref="C35:H35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11.5"/>
    <col customWidth="1" min="6" max="6" width="12.0"/>
    <col customWidth="1" min="7" max="7" width="12.13"/>
    <col customWidth="1" min="8" max="8" width="7.25"/>
    <col customWidth="1" min="9" max="9" width="11.0"/>
    <col customWidth="1" min="10" max="10" width="15.63"/>
    <col customWidth="1" min="11" max="12" width="11.75"/>
    <col customWidth="1" min="13" max="13" width="12.25"/>
    <col customWidth="1" min="14" max="14" width="11.5"/>
    <col customWidth="1" min="15" max="15" width="11.75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3">
      <c r="A3" s="69" t="s">
        <v>82</v>
      </c>
      <c r="I3" s="69" t="s">
        <v>83</v>
      </c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>
      <c r="A5" s="70" t="s">
        <v>84</v>
      </c>
      <c r="B5" s="4"/>
      <c r="C5" s="4"/>
      <c r="D5" s="4"/>
      <c r="E5" s="4"/>
      <c r="F5" s="4"/>
      <c r="G5" s="5"/>
      <c r="H5" s="14"/>
      <c r="I5" s="71" t="s">
        <v>85</v>
      </c>
      <c r="J5" s="4"/>
      <c r="K5" s="4"/>
      <c r="L5" s="4"/>
      <c r="M5" s="4"/>
      <c r="N5" s="4"/>
      <c r="O5" s="5"/>
    </row>
    <row r="6">
      <c r="A6" s="72" t="s">
        <v>86</v>
      </c>
      <c r="B6" s="72" t="s">
        <v>87</v>
      </c>
      <c r="C6" s="72" t="s">
        <v>88</v>
      </c>
      <c r="D6" s="72" t="s">
        <v>89</v>
      </c>
      <c r="E6" s="72" t="s">
        <v>90</v>
      </c>
      <c r="F6" s="72" t="s">
        <v>91</v>
      </c>
      <c r="G6" s="72" t="s">
        <v>92</v>
      </c>
      <c r="H6" s="14"/>
      <c r="I6" s="73" t="s">
        <v>86</v>
      </c>
      <c r="J6" s="73" t="s">
        <v>87</v>
      </c>
      <c r="K6" s="73" t="s">
        <v>88</v>
      </c>
      <c r="L6" s="73" t="s">
        <v>89</v>
      </c>
      <c r="M6" s="73" t="s">
        <v>90</v>
      </c>
      <c r="N6" s="73" t="s">
        <v>91</v>
      </c>
      <c r="O6" s="73" t="s">
        <v>92</v>
      </c>
    </row>
    <row r="7">
      <c r="A7" s="16"/>
      <c r="B7" s="7">
        <v>0.0</v>
      </c>
      <c r="C7" s="7">
        <v>1.0</v>
      </c>
      <c r="D7" s="7">
        <v>2.0</v>
      </c>
      <c r="E7" s="7">
        <v>3.0</v>
      </c>
      <c r="F7" s="7">
        <v>4.0</v>
      </c>
      <c r="G7" s="7">
        <v>5.0</v>
      </c>
      <c r="H7" s="14"/>
      <c r="I7" s="16"/>
      <c r="J7" s="7">
        <v>0.0</v>
      </c>
      <c r="K7" s="7">
        <v>1.0</v>
      </c>
      <c r="L7" s="7">
        <v>2.0</v>
      </c>
      <c r="M7" s="7">
        <v>3.0</v>
      </c>
      <c r="N7" s="7">
        <v>4.0</v>
      </c>
      <c r="O7" s="7">
        <v>5.0</v>
      </c>
    </row>
    <row r="8">
      <c r="A8" s="7">
        <v>0.0</v>
      </c>
      <c r="B8" s="7">
        <v>0.0</v>
      </c>
      <c r="C8" s="7">
        <v>0.0</v>
      </c>
      <c r="D8" s="7">
        <v>0.0</v>
      </c>
      <c r="E8" s="7">
        <v>0.0</v>
      </c>
      <c r="F8" s="7">
        <v>0.0</v>
      </c>
      <c r="G8" s="7">
        <v>0.0</v>
      </c>
      <c r="H8" s="14"/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</row>
    <row r="9">
      <c r="A9" s="7">
        <v>1.0</v>
      </c>
      <c r="B9" s="16">
        <f t="shared" ref="B9:G9" si="1">B8+(B$7+26+$A8^2)</f>
        <v>26</v>
      </c>
      <c r="C9" s="16">
        <f t="shared" si="1"/>
        <v>27</v>
      </c>
      <c r="D9" s="16">
        <f t="shared" si="1"/>
        <v>28</v>
      </c>
      <c r="E9" s="16">
        <f t="shared" si="1"/>
        <v>29</v>
      </c>
      <c r="F9" s="16">
        <f t="shared" si="1"/>
        <v>30</v>
      </c>
      <c r="G9" s="16">
        <f t="shared" si="1"/>
        <v>31</v>
      </c>
      <c r="H9" s="14"/>
      <c r="I9" s="7">
        <v>1.0</v>
      </c>
      <c r="J9" s="16">
        <f t="shared" ref="J9:O9" si="2">J8+(J$7+36+$A8^2)</f>
        <v>36</v>
      </c>
      <c r="K9" s="16">
        <f t="shared" si="2"/>
        <v>37</v>
      </c>
      <c r="L9" s="16">
        <f t="shared" si="2"/>
        <v>38</v>
      </c>
      <c r="M9" s="16">
        <f t="shared" si="2"/>
        <v>39</v>
      </c>
      <c r="N9" s="16">
        <f t="shared" si="2"/>
        <v>40</v>
      </c>
      <c r="O9" s="16">
        <f t="shared" si="2"/>
        <v>41</v>
      </c>
    </row>
    <row r="10">
      <c r="A10" s="7">
        <v>2.0</v>
      </c>
      <c r="B10" s="16">
        <f t="shared" ref="B10:G10" si="3">B9+(B$7+26+$A9^2)</f>
        <v>53</v>
      </c>
      <c r="C10" s="16">
        <f t="shared" si="3"/>
        <v>55</v>
      </c>
      <c r="D10" s="16">
        <f t="shared" si="3"/>
        <v>57</v>
      </c>
      <c r="E10" s="16">
        <f t="shared" si="3"/>
        <v>59</v>
      </c>
      <c r="F10" s="16">
        <f t="shared" si="3"/>
        <v>61</v>
      </c>
      <c r="G10" s="16">
        <f t="shared" si="3"/>
        <v>63</v>
      </c>
      <c r="H10" s="14"/>
      <c r="I10" s="7">
        <v>2.0</v>
      </c>
      <c r="J10" s="16">
        <f t="shared" ref="J10:O10" si="4">J9+(J$7+36+$A9^2)</f>
        <v>73</v>
      </c>
      <c r="K10" s="16">
        <f t="shared" si="4"/>
        <v>75</v>
      </c>
      <c r="L10" s="16">
        <f t="shared" si="4"/>
        <v>77</v>
      </c>
      <c r="M10" s="16">
        <f t="shared" si="4"/>
        <v>79</v>
      </c>
      <c r="N10" s="16">
        <f t="shared" si="4"/>
        <v>81</v>
      </c>
      <c r="O10" s="16">
        <f t="shared" si="4"/>
        <v>83</v>
      </c>
    </row>
    <row r="11">
      <c r="A11" s="7">
        <v>3.0</v>
      </c>
      <c r="B11" s="16">
        <f t="shared" ref="B11:G11" si="5">B10+(B$7+26+$A10^2)</f>
        <v>83</v>
      </c>
      <c r="C11" s="16">
        <f t="shared" si="5"/>
        <v>86</v>
      </c>
      <c r="D11" s="16">
        <f t="shared" si="5"/>
        <v>89</v>
      </c>
      <c r="E11" s="16">
        <f t="shared" si="5"/>
        <v>92</v>
      </c>
      <c r="F11" s="16">
        <f t="shared" si="5"/>
        <v>95</v>
      </c>
      <c r="G11" s="16">
        <f t="shared" si="5"/>
        <v>98</v>
      </c>
      <c r="H11" s="14"/>
      <c r="I11" s="7">
        <v>3.0</v>
      </c>
      <c r="J11" s="16">
        <f t="shared" ref="J11:O11" si="6">J10+(J$7+36+$A10^2)</f>
        <v>113</v>
      </c>
      <c r="K11" s="16">
        <f t="shared" si="6"/>
        <v>116</v>
      </c>
      <c r="L11" s="16">
        <f t="shared" si="6"/>
        <v>119</v>
      </c>
      <c r="M11" s="16">
        <f t="shared" si="6"/>
        <v>122</v>
      </c>
      <c r="N11" s="16">
        <f t="shared" si="6"/>
        <v>125</v>
      </c>
      <c r="O11" s="16">
        <f t="shared" si="6"/>
        <v>128</v>
      </c>
    </row>
    <row r="12">
      <c r="A12" s="7">
        <v>4.0</v>
      </c>
      <c r="B12" s="16">
        <f t="shared" ref="B12:G12" si="7">B11+(B$7+26+$A11^2)</f>
        <v>118</v>
      </c>
      <c r="C12" s="16">
        <f t="shared" si="7"/>
        <v>122</v>
      </c>
      <c r="D12" s="16">
        <f t="shared" si="7"/>
        <v>126</v>
      </c>
      <c r="E12" s="16">
        <f t="shared" si="7"/>
        <v>130</v>
      </c>
      <c r="F12" s="16">
        <f t="shared" si="7"/>
        <v>134</v>
      </c>
      <c r="G12" s="16">
        <f t="shared" si="7"/>
        <v>138</v>
      </c>
      <c r="H12" s="14"/>
      <c r="I12" s="7">
        <v>4.0</v>
      </c>
      <c r="J12" s="16">
        <f t="shared" ref="J12:O12" si="8">J11+(J$7+36+$A11^2)</f>
        <v>158</v>
      </c>
      <c r="K12" s="16">
        <f t="shared" si="8"/>
        <v>162</v>
      </c>
      <c r="L12" s="16">
        <f t="shared" si="8"/>
        <v>166</v>
      </c>
      <c r="M12" s="16">
        <f t="shared" si="8"/>
        <v>170</v>
      </c>
      <c r="N12" s="16">
        <f t="shared" si="8"/>
        <v>174</v>
      </c>
      <c r="O12" s="16">
        <f t="shared" si="8"/>
        <v>178</v>
      </c>
    </row>
    <row r="13">
      <c r="A13" s="7">
        <v>5.0</v>
      </c>
      <c r="B13" s="16">
        <f t="shared" ref="B13:G13" si="9">B12+(B$7+26+$A12^2)</f>
        <v>160</v>
      </c>
      <c r="C13" s="16">
        <f t="shared" si="9"/>
        <v>165</v>
      </c>
      <c r="D13" s="16">
        <f t="shared" si="9"/>
        <v>170</v>
      </c>
      <c r="E13" s="16">
        <f t="shared" si="9"/>
        <v>175</v>
      </c>
      <c r="F13" s="16">
        <f t="shared" si="9"/>
        <v>180</v>
      </c>
      <c r="G13" s="16">
        <f t="shared" si="9"/>
        <v>185</v>
      </c>
      <c r="H13" s="14"/>
      <c r="I13" s="7">
        <v>5.0</v>
      </c>
      <c r="J13" s="16">
        <f t="shared" ref="J13:O13" si="10">J12+(J$7+36+$A12^2)</f>
        <v>210</v>
      </c>
      <c r="K13" s="16">
        <f t="shared" si="10"/>
        <v>215</v>
      </c>
      <c r="L13" s="16">
        <f t="shared" si="10"/>
        <v>220</v>
      </c>
      <c r="M13" s="16">
        <f t="shared" si="10"/>
        <v>225</v>
      </c>
      <c r="N13" s="16">
        <f t="shared" si="10"/>
        <v>230</v>
      </c>
      <c r="O13" s="16">
        <f t="shared" si="10"/>
        <v>235</v>
      </c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>
      <c r="A15" s="70" t="s">
        <v>93</v>
      </c>
      <c r="B15" s="4"/>
      <c r="C15" s="4"/>
      <c r="D15" s="5"/>
      <c r="E15" s="14"/>
      <c r="F15" s="14"/>
      <c r="G15" s="14"/>
      <c r="H15" s="14"/>
      <c r="I15" s="71" t="s">
        <v>94</v>
      </c>
      <c r="J15" s="4"/>
      <c r="K15" s="4"/>
      <c r="L15" s="5"/>
      <c r="M15" s="14"/>
      <c r="N15" s="14"/>
      <c r="O15" s="14"/>
    </row>
    <row r="16">
      <c r="A16" s="72" t="s">
        <v>95</v>
      </c>
      <c r="B16" s="72" t="s">
        <v>96</v>
      </c>
      <c r="C16" s="72" t="s">
        <v>97</v>
      </c>
      <c r="D16" s="72" t="s">
        <v>98</v>
      </c>
      <c r="E16" s="14"/>
      <c r="F16" s="14"/>
      <c r="G16" s="14"/>
      <c r="H16" s="14"/>
      <c r="I16" s="73" t="s">
        <v>95</v>
      </c>
      <c r="J16" s="73" t="s">
        <v>96</v>
      </c>
      <c r="K16" s="73" t="s">
        <v>97</v>
      </c>
      <c r="L16" s="73" t="s">
        <v>98</v>
      </c>
      <c r="M16" s="14"/>
      <c r="N16" s="14"/>
      <c r="O16" s="14"/>
    </row>
    <row r="17">
      <c r="A17" s="7">
        <v>0.0</v>
      </c>
      <c r="B17" s="7">
        <v>0.0</v>
      </c>
      <c r="C17" s="16">
        <f t="shared" ref="C17:C21" si="11">0+0.2*130+A17^2</f>
        <v>26</v>
      </c>
      <c r="D17" s="16">
        <f t="shared" ref="D17:D21" si="12">B17+C17</f>
        <v>26</v>
      </c>
      <c r="E17" s="14"/>
      <c r="F17" s="14"/>
      <c r="G17" s="14"/>
      <c r="H17" s="14"/>
      <c r="I17" s="7">
        <v>0.0</v>
      </c>
      <c r="J17" s="7">
        <v>0.0</v>
      </c>
      <c r="K17" s="16">
        <f t="shared" ref="K17:K21" si="13">0+0.2*180+I17^2</f>
        <v>36</v>
      </c>
      <c r="L17" s="16">
        <f t="shared" ref="L17:L21" si="14">J17+K17</f>
        <v>36</v>
      </c>
      <c r="M17" s="14"/>
      <c r="N17" s="14"/>
      <c r="O17" s="14"/>
    </row>
    <row r="18">
      <c r="A18" s="7">
        <v>1.0</v>
      </c>
      <c r="B18" s="16">
        <f t="shared" ref="B18:B21" si="15">D17</f>
        <v>26</v>
      </c>
      <c r="C18" s="16">
        <f t="shared" si="11"/>
        <v>27</v>
      </c>
      <c r="D18" s="16">
        <f t="shared" si="12"/>
        <v>53</v>
      </c>
      <c r="E18" s="14"/>
      <c r="F18" s="14"/>
      <c r="G18" s="16"/>
      <c r="H18" s="14"/>
      <c r="I18" s="7">
        <v>1.0</v>
      </c>
      <c r="J18" s="16">
        <f t="shared" ref="J18:J21" si="16">L17</f>
        <v>36</v>
      </c>
      <c r="K18" s="16">
        <f t="shared" si="13"/>
        <v>37</v>
      </c>
      <c r="L18" s="16">
        <f t="shared" si="14"/>
        <v>73</v>
      </c>
      <c r="M18" s="14"/>
      <c r="N18" s="14"/>
      <c r="O18" s="14"/>
    </row>
    <row r="19">
      <c r="A19" s="7">
        <v>2.0</v>
      </c>
      <c r="B19" s="16">
        <f t="shared" si="15"/>
        <v>53</v>
      </c>
      <c r="C19" s="16">
        <f t="shared" si="11"/>
        <v>30</v>
      </c>
      <c r="D19" s="16">
        <f t="shared" si="12"/>
        <v>83</v>
      </c>
      <c r="E19" s="14"/>
      <c r="F19" s="14"/>
      <c r="G19" s="14"/>
      <c r="H19" s="14"/>
      <c r="I19" s="7">
        <v>2.0</v>
      </c>
      <c r="J19" s="16">
        <f t="shared" si="16"/>
        <v>73</v>
      </c>
      <c r="K19" s="16">
        <f t="shared" si="13"/>
        <v>40</v>
      </c>
      <c r="L19" s="16">
        <f t="shared" si="14"/>
        <v>113</v>
      </c>
      <c r="M19" s="14"/>
      <c r="N19" s="14"/>
      <c r="O19" s="14"/>
    </row>
    <row r="20">
      <c r="A20" s="7">
        <v>3.0</v>
      </c>
      <c r="B20" s="16">
        <f t="shared" si="15"/>
        <v>83</v>
      </c>
      <c r="C20" s="16">
        <f t="shared" si="11"/>
        <v>35</v>
      </c>
      <c r="D20" s="16">
        <f t="shared" si="12"/>
        <v>118</v>
      </c>
      <c r="E20" s="14"/>
      <c r="F20" s="14"/>
      <c r="G20" s="14"/>
      <c r="H20" s="14"/>
      <c r="I20" s="7">
        <v>3.0</v>
      </c>
      <c r="J20" s="16">
        <f t="shared" si="16"/>
        <v>113</v>
      </c>
      <c r="K20" s="16">
        <f t="shared" si="13"/>
        <v>45</v>
      </c>
      <c r="L20" s="16">
        <f t="shared" si="14"/>
        <v>158</v>
      </c>
      <c r="M20" s="14"/>
      <c r="N20" s="14"/>
      <c r="O20" s="14"/>
    </row>
    <row r="21">
      <c r="A21" s="7">
        <v>4.0</v>
      </c>
      <c r="B21" s="16">
        <f t="shared" si="15"/>
        <v>118</v>
      </c>
      <c r="C21" s="16">
        <f t="shared" si="11"/>
        <v>42</v>
      </c>
      <c r="D21" s="16">
        <f t="shared" si="12"/>
        <v>160</v>
      </c>
      <c r="E21" s="21" t="s">
        <v>99</v>
      </c>
      <c r="F21" s="14"/>
      <c r="G21" s="14"/>
      <c r="H21" s="14"/>
      <c r="I21" s="7">
        <v>4.0</v>
      </c>
      <c r="J21" s="16">
        <f t="shared" si="16"/>
        <v>158</v>
      </c>
      <c r="K21" s="16">
        <f t="shared" si="13"/>
        <v>52</v>
      </c>
      <c r="L21" s="16">
        <f t="shared" si="14"/>
        <v>210</v>
      </c>
      <c r="M21" s="21" t="s">
        <v>100</v>
      </c>
      <c r="N21" s="14"/>
      <c r="O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>
      <c r="A23" s="14"/>
      <c r="B23" s="14"/>
      <c r="C23" s="14"/>
      <c r="D23" s="14"/>
      <c r="E23" s="14"/>
      <c r="F23" s="14"/>
      <c r="G23" s="23"/>
      <c r="H23" s="23"/>
      <c r="I23" s="23"/>
      <c r="J23" s="14"/>
      <c r="K23" s="14"/>
      <c r="L23" s="14"/>
      <c r="M23" s="14"/>
      <c r="N23" s="14"/>
      <c r="O23" s="14"/>
    </row>
    <row r="24">
      <c r="D24" s="6"/>
      <c r="G24" s="74"/>
      <c r="H24" s="74"/>
      <c r="I24" s="11"/>
    </row>
    <row r="25">
      <c r="D25" s="6"/>
      <c r="G25" s="74"/>
      <c r="H25" s="74"/>
      <c r="I25" s="11"/>
    </row>
    <row r="26">
      <c r="D26" s="6"/>
      <c r="G26" s="74"/>
      <c r="H26" s="74"/>
      <c r="I26" s="11"/>
    </row>
    <row r="27">
      <c r="D27" s="6"/>
      <c r="G27" s="74"/>
      <c r="H27" s="74"/>
      <c r="I27" s="11"/>
    </row>
    <row r="28">
      <c r="D28" s="6"/>
      <c r="G28" s="74"/>
      <c r="H28" s="74"/>
      <c r="I28" s="11"/>
    </row>
    <row r="29">
      <c r="D29" s="6"/>
      <c r="G29" s="74"/>
      <c r="H29" s="74"/>
      <c r="I29" s="11"/>
    </row>
    <row r="30">
      <c r="D30" s="6"/>
    </row>
  </sheetData>
  <mergeCells count="6">
    <mergeCell ref="A3:G3"/>
    <mergeCell ref="I3:O3"/>
    <mergeCell ref="A5:G5"/>
    <mergeCell ref="I5:O5"/>
    <mergeCell ref="A15:D15"/>
    <mergeCell ref="I15:L15"/>
  </mergeCells>
  <drawing r:id="rId1"/>
</worksheet>
</file>